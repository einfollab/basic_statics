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신인왕_2년차" sheetId="1" state="visible" r:id="rId3"/>
  </sheets>
  <definedNames>
    <definedName function="false" hidden="true" localSheetId="0" name="_xlnm._FilterDatabase" vbProcedure="false">신인왕_2년차!$A$1:$Y$110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Noto Sans CJK SC"/>
            <family val="2"/>
          </rPr>
          <t xml:space="preserve">신인왕은 </t>
        </r>
        <r>
          <rPr>
            <sz val="10"/>
            <rFont val="Arial"/>
            <family val="2"/>
          </rPr>
          <t xml:space="preserve">1. </t>
        </r>
        <r>
          <rPr>
            <sz val="10"/>
            <rFont val="Noto Sans CJK SC"/>
            <family val="2"/>
          </rPr>
          <t xml:space="preserve">비교군은 그해 신인왕 투표 </t>
        </r>
        <r>
          <rPr>
            <sz val="10"/>
            <rFont val="Arial"/>
            <family val="2"/>
          </rPr>
          <t xml:space="preserve">2·3</t>
        </r>
        <r>
          <rPr>
            <sz val="10"/>
            <rFont val="Noto Sans CJK SC"/>
            <family val="2"/>
          </rPr>
          <t xml:space="preserve">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동점이면 모두 포함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투표 결과를 못 찾은 해는 당시 기사가 꼽은 경쟁 신인을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Noto Sans CJK SC"/>
            <family val="2"/>
          </rPr>
          <t xml:space="preserve">경쟁후보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Noto Sans CJK SC"/>
            <family val="2"/>
          </rPr>
          <t xml:space="preserve">로 표시</t>
        </r>
        <r>
          <rPr>
            <sz val="10"/>
            <rFont val="Arial"/>
            <family val="2"/>
          </rPr>
          <t xml:space="preserve">.</t>
        </r>
      </text>
    </comment>
    <comment ref="H1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년차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신인왕을 받은 시즌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그 선수의 실제 데뷔 연도와 다를 수 있음</t>
        </r>
        <r>
          <rPr>
            <sz val="10"/>
            <rFont val="Arial"/>
            <family val="2"/>
          </rPr>
          <t xml:space="preserve">).</t>
        </r>
      </text>
    </comment>
    <comment ref="M1" authorId="0">
      <text>
        <r>
          <rPr>
            <sz val="10"/>
            <rFont val="Noto Sans CJK SC"/>
            <family val="2"/>
          </rPr>
          <t xml:space="preserve">이닝 표기</t>
        </r>
        <r>
          <rPr>
            <sz val="10"/>
            <rFont val="Arial"/>
            <family val="2"/>
          </rPr>
          <t xml:space="preserve">: 229.2 </t>
        </r>
        <r>
          <rPr>
            <sz val="10"/>
            <rFont val="Noto Sans CJK SC"/>
            <family val="2"/>
          </rPr>
          <t xml:space="preserve">는 </t>
        </r>
        <r>
          <rPr>
            <sz val="10"/>
            <rFont val="Arial"/>
            <family val="2"/>
          </rPr>
          <t xml:space="preserve">229</t>
        </r>
        <r>
          <rPr>
            <sz val="10"/>
            <rFont val="Noto Sans CJK SC"/>
            <family val="2"/>
          </rPr>
          <t xml:space="preserve">와 </t>
        </r>
        <r>
          <rPr>
            <sz val="10"/>
            <rFont val="Arial"/>
            <family val="2"/>
          </rPr>
          <t xml:space="preserve">2/3</t>
        </r>
        <r>
          <rPr>
            <sz val="10"/>
            <rFont val="Noto Sans CJK SC"/>
            <family val="2"/>
          </rPr>
          <t xml:space="preserve">이닝</t>
        </r>
        <r>
          <rPr>
            <sz val="10"/>
            <rFont val="Arial"/>
            <family val="2"/>
          </rPr>
          <t xml:space="preserve">, .1 </t>
        </r>
        <r>
          <rPr>
            <sz val="10"/>
            <rFont val="Noto Sans CJK SC"/>
            <family val="2"/>
          </rPr>
          <t xml:space="preserve">은 </t>
        </r>
        <r>
          <rPr>
            <sz val="10"/>
            <rFont val="Arial"/>
            <family val="2"/>
          </rPr>
          <t xml:space="preserve">1/3</t>
        </r>
        <r>
          <rPr>
            <sz val="10"/>
            <rFont val="Noto Sans CJK SC"/>
            <family val="2"/>
          </rPr>
          <t xml:space="preserve">이닝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야구 관례 표기</t>
        </r>
        <r>
          <rPr>
            <sz val="10"/>
            <rFont val="Arial"/>
            <family val="2"/>
          </rPr>
          <t xml:space="preserve">).</t>
        </r>
      </text>
    </comment>
    <comment ref="N1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년차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수상 다음 시즌 정규리그 기록</t>
        </r>
        <r>
          <rPr>
            <sz val="10"/>
            <rFont val="Arial"/>
            <family val="2"/>
          </rPr>
          <t xml:space="preserve">.</t>
        </r>
      </text>
    </comment>
    <comment ref="T1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년차 </t>
        </r>
        <r>
          <rPr>
            <sz val="10"/>
            <rFont val="Arial"/>
            <family val="2"/>
          </rPr>
          <t xml:space="preserve">OPS - 1</t>
        </r>
        <r>
          <rPr>
            <sz val="10"/>
            <rFont val="Noto Sans CJK SC"/>
            <family val="2"/>
          </rPr>
          <t xml:space="preserve">년차 </t>
        </r>
        <r>
          <rPr>
            <sz val="10"/>
            <rFont val="Arial"/>
            <family val="2"/>
          </rPr>
          <t xml:space="preserve">OPS. </t>
        </r>
        <r>
          <rPr>
            <sz val="10"/>
            <rFont val="Noto Sans CJK SC"/>
            <family val="2"/>
          </rPr>
          <t xml:space="preserve">음수면 하락</t>
        </r>
        <r>
          <rPr>
            <sz val="10"/>
            <rFont val="Arial"/>
            <family val="2"/>
          </rPr>
          <t xml:space="preserve">.</t>
        </r>
      </text>
    </comment>
    <comment ref="U1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년차 평균자책점 </t>
        </r>
        <r>
          <rPr>
            <sz val="10"/>
            <rFont val="Arial"/>
            <family val="2"/>
          </rPr>
          <t xml:space="preserve">- 1</t>
        </r>
        <r>
          <rPr>
            <sz val="10"/>
            <rFont val="Noto Sans CJK SC"/>
            <family val="2"/>
          </rPr>
          <t xml:space="preserve">년차 평균자책점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양수면 나빠진 것</t>
        </r>
        <r>
          <rPr>
            <sz val="10"/>
            <rFont val="Arial"/>
            <family val="2"/>
          </rPr>
          <t xml:space="preserve">.</t>
        </r>
      </text>
    </comment>
    <comment ref="Y1" authorId="0">
      <text>
        <r>
          <rPr>
            <sz val="10"/>
            <rFont val="Noto Sans CJK SC"/>
            <family val="2"/>
          </rPr>
          <t xml:space="preserve">모든 기록은 </t>
        </r>
        <r>
          <rPr>
            <sz val="10"/>
            <rFont val="Arial"/>
            <family val="2"/>
          </rPr>
          <t xml:space="preserve">Baseball-Reference KBO </t>
        </r>
        <r>
          <rPr>
            <sz val="10"/>
            <rFont val="Noto Sans CJK SC"/>
            <family val="2"/>
          </rPr>
          <t xml:space="preserve">선수 기록표에서 옮겨 옴</t>
        </r>
        <r>
          <rPr>
            <sz val="10"/>
            <rFont val="Arial"/>
            <family val="2"/>
          </rPr>
          <t xml:space="preserve">(KBO </t>
        </r>
        <r>
          <rPr>
            <sz val="10"/>
            <rFont val="Noto Sans CJK SC"/>
            <family val="2"/>
          </rPr>
          <t xml:space="preserve">기록실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스탯티즈는 자동 접근 차단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일부는 같은 사이트의 팀 시즌 페이지 값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비고에 표시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sharedStrings.xml><?xml version="1.0" encoding="utf-8"?>
<sst xmlns="http://schemas.openxmlformats.org/spreadsheetml/2006/main" count="898" uniqueCount="528">
  <si>
    <t xml:space="preserve">구분</t>
  </si>
  <si>
    <t xml:space="preserve">수상연도</t>
  </si>
  <si>
    <t xml:space="preserve">투표순위</t>
  </si>
  <si>
    <t xml:space="preserve">선수</t>
  </si>
  <si>
    <t xml:space="preserve">영문명</t>
  </si>
  <si>
    <t xml:space="preserve">팀</t>
  </si>
  <si>
    <t xml:space="preserve">유형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</si>
  <si>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연도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</si>
  <si>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경기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</si>
  <si>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타율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</si>
  <si>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_OPS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</si>
  <si>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평균자책점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</si>
  <si>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이닝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</si>
  <si>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연도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</si>
  <si>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경기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</si>
  <si>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타율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</si>
  <si>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_OPS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</si>
  <si>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평균자책점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</si>
  <si>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년차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이닝</t>
    </r>
  </si>
  <si>
    <r>
      <rPr>
        <b val="true"/>
        <sz val="10"/>
        <color rgb="FFFFFFFF"/>
        <rFont val="맑은 고딕"/>
        <family val="0"/>
        <charset val="1"/>
      </rPr>
      <t xml:space="preserve">OPS_</t>
    </r>
    <r>
      <rPr>
        <b val="true"/>
        <sz val="10"/>
        <color rgb="FFFFFFFF"/>
        <rFont val="Noto Sans CJK SC"/>
        <family val="2"/>
      </rPr>
      <t xml:space="preserve">변화</t>
    </r>
  </si>
  <si>
    <r>
      <rPr>
        <b val="true"/>
        <sz val="10"/>
        <color rgb="FFFFFFFF"/>
        <rFont val="Noto Sans CJK SC"/>
        <family val="2"/>
      </rPr>
      <t xml:space="preserve">평균자책점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변화</t>
    </r>
  </si>
  <si>
    <r>
      <rPr>
        <b val="true"/>
        <sz val="10"/>
        <color rgb="FFFFFFFF"/>
        <rFont val="Noto Sans CJK SC"/>
        <family val="2"/>
      </rPr>
      <t xml:space="preserve">경기수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변화</t>
    </r>
  </si>
  <si>
    <t xml:space="preserve">비고</t>
  </si>
  <si>
    <t xml:space="preserve">투표출처</t>
  </si>
  <si>
    <t xml:space="preserve">기록출처</t>
  </si>
  <si>
    <t xml:space="preserve">신인왕</t>
  </si>
  <si>
    <t xml:space="preserve">박종훈</t>
  </si>
  <si>
    <t xml:space="preserve">Jong-hun Pak</t>
  </si>
  <si>
    <t xml:space="preserve">OB</t>
  </si>
  <si>
    <t xml:space="preserve">타자</t>
  </si>
  <si>
    <r>
      <rPr>
        <sz val="10"/>
        <rFont val="맑은 고딕"/>
        <family val="0"/>
        <charset val="1"/>
      </rPr>
      <t xml:space="preserve">1983</t>
    </r>
    <r>
      <rPr>
        <sz val="10"/>
        <rFont val="Noto Sans CJK SC"/>
        <family val="2"/>
      </rPr>
      <t xml:space="preserve">년 투표 </t>
    </r>
    <r>
      <rPr>
        <sz val="10"/>
        <rFont val="맑은 고딕"/>
        <family val="0"/>
        <charset val="1"/>
      </rPr>
      <t xml:space="preserve">2·3</t>
    </r>
    <r>
      <rPr>
        <sz val="10"/>
        <rFont val="Noto Sans CJK SC"/>
        <family val="2"/>
      </rPr>
      <t xml:space="preserve">위 확인 못함</t>
    </r>
    <r>
      <rPr>
        <sz val="10"/>
        <rFont val="맑은 고딕"/>
        <family val="0"/>
        <charset val="1"/>
      </rPr>
      <t xml:space="preserve">. B-R </t>
    </r>
    <r>
      <rPr>
        <sz val="10"/>
        <rFont val="Noto Sans CJK SC"/>
        <family val="2"/>
      </rPr>
      <t xml:space="preserve">위키 쪽 출루율</t>
    </r>
    <r>
      <rPr>
        <sz val="10"/>
        <rFont val="맑은 고딕"/>
        <family val="0"/>
        <charset val="1"/>
      </rPr>
      <t xml:space="preserve">.380, </t>
    </r>
    <r>
      <rPr>
        <sz val="10"/>
        <rFont val="Noto Sans CJK SC"/>
        <family val="2"/>
      </rPr>
      <t xml:space="preserve">선수 기록표</t>
    </r>
    <r>
      <rPr>
        <sz val="10"/>
        <rFont val="맑은 고딕"/>
        <family val="0"/>
        <charset val="1"/>
      </rPr>
      <t xml:space="preserve">.377(</t>
    </r>
    <r>
      <rPr>
        <sz val="10"/>
        <rFont val="Noto Sans CJK SC"/>
        <family val="2"/>
      </rPr>
      <t xml:space="preserve">기록표 사용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</si>
  <si>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https://www.baseball-reference.com/register/player.fcgi?id=pak---005jon</t>
  </si>
  <si>
    <t xml:space="preserve">윤석환</t>
  </si>
  <si>
    <t xml:space="preserve">Seok-hwan Yun</t>
  </si>
  <si>
    <t xml:space="preserve">투수</t>
  </si>
  <si>
    <r>
      <rPr>
        <sz val="10"/>
        <rFont val="맑은 고딕"/>
        <family val="0"/>
        <charset val="1"/>
      </rPr>
      <t xml:space="preserve">1984</t>
    </r>
    <r>
      <rPr>
        <sz val="10"/>
        <rFont val="Noto Sans CJK SC"/>
        <family val="2"/>
      </rPr>
      <t xml:space="preserve">년 투표 </t>
    </r>
    <r>
      <rPr>
        <sz val="10"/>
        <rFont val="맑은 고딕"/>
        <family val="0"/>
        <charset val="1"/>
      </rPr>
      <t xml:space="preserve">2·3</t>
    </r>
    <r>
      <rPr>
        <sz val="10"/>
        <rFont val="Noto Sans CJK SC"/>
        <family val="2"/>
      </rPr>
      <t xml:space="preserve">위 확인 못함</t>
    </r>
  </si>
  <si>
    <t xml:space="preserve">https://www.baseball-reference.com/register/player.fcgi?id=yun---004seo</t>
  </si>
  <si>
    <t xml:space="preserve">이순철</t>
  </si>
  <si>
    <t xml:space="preserve">Sun-cheol Lee</t>
  </si>
  <si>
    <t xml:space="preserve">해태</t>
  </si>
  <si>
    <r>
      <rPr>
        <sz val="10"/>
        <rFont val="맑은 고딕"/>
        <family val="0"/>
        <charset val="1"/>
      </rPr>
      <t xml:space="preserve">1985</t>
    </r>
    <r>
      <rPr>
        <sz val="10"/>
        <rFont val="Noto Sans CJK SC"/>
        <family val="2"/>
      </rPr>
      <t xml:space="preserve">년 투표 </t>
    </r>
    <r>
      <rPr>
        <sz val="10"/>
        <rFont val="맑은 고딕"/>
        <family val="0"/>
        <charset val="1"/>
      </rPr>
      <t xml:space="preserve">2·3</t>
    </r>
    <r>
      <rPr>
        <sz val="10"/>
        <rFont val="Noto Sans CJK SC"/>
        <family val="2"/>
      </rPr>
      <t xml:space="preserve">위 확인 못함</t>
    </r>
  </si>
  <si>
    <t xml:space="preserve">https://www.baseball-reference.com/register/player.fcgi?id=lee---004sun</t>
  </si>
  <si>
    <t xml:space="preserve">김건우</t>
  </si>
  <si>
    <t xml:space="preserve">Geon-u Kim</t>
  </si>
  <si>
    <t xml:space="preserve">MBC</t>
  </si>
  <si>
    <r>
      <rPr>
        <sz val="10"/>
        <rFont val="맑은 고딕"/>
        <family val="0"/>
        <charset val="1"/>
      </rPr>
      <t xml:space="preserve">251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표 중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). B-R </t>
    </r>
    <r>
      <rPr>
        <sz val="10"/>
        <rFont val="Noto Sans CJK SC"/>
        <family val="2"/>
      </rPr>
      <t xml:space="preserve">시즌 페이지 </t>
    </r>
    <r>
      <rPr>
        <sz val="10"/>
        <rFont val="맑은 고딕"/>
        <family val="0"/>
        <charset val="1"/>
      </rPr>
      <t xml:space="preserve">229.1</t>
    </r>
    <r>
      <rPr>
        <sz val="10"/>
        <rFont val="Noto Sans CJK SC"/>
        <family val="2"/>
      </rPr>
      <t xml:space="preserve">이닝</t>
    </r>
    <r>
      <rPr>
        <sz val="10"/>
        <rFont val="맑은 고딕"/>
        <family val="0"/>
        <charset val="1"/>
      </rPr>
      <t xml:space="preserve">/1.81, </t>
    </r>
    <r>
      <rPr>
        <sz val="10"/>
        <rFont val="Noto Sans CJK SC"/>
        <family val="2"/>
      </rPr>
      <t xml:space="preserve">선수 기록표 </t>
    </r>
    <r>
      <rPr>
        <sz val="10"/>
        <rFont val="맑은 고딕"/>
        <family val="0"/>
        <charset val="1"/>
      </rPr>
      <t xml:space="preserve">229.2</t>
    </r>
    <r>
      <rPr>
        <sz val="10"/>
        <rFont val="Noto Sans CJK SC"/>
        <family val="2"/>
      </rPr>
      <t xml:space="preserve">이닝</t>
    </r>
    <r>
      <rPr>
        <sz val="10"/>
        <rFont val="맑은 고딕"/>
        <family val="0"/>
        <charset val="1"/>
      </rPr>
      <t xml:space="preserve">/1.80(</t>
    </r>
    <r>
      <rPr>
        <sz val="10"/>
        <rFont val="Noto Sans CJK SC"/>
        <family val="2"/>
      </rPr>
      <t xml:space="preserve">기록표 사용</t>
    </r>
    <r>
      <rPr>
        <sz val="10"/>
        <rFont val="맑은 고딕"/>
        <family val="0"/>
        <charset val="1"/>
      </rPr>
      <t xml:space="preserve">) 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1987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월 교통사고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시즌 막바지</t>
    </r>
    <r>
      <rPr>
        <sz val="10"/>
        <rFont val="맑은 고딕"/>
        <family val="0"/>
        <charset val="1"/>
      </rPr>
      <t xml:space="preserve">)</t>
    </r>
  </si>
  <si>
    <t xml:space="preserve">https://v.daum.net/v/qEG86xLK8P https://v.daum.net/v/2jOceXEQxn</t>
  </si>
  <si>
    <t xml:space="preserve">https://www.baseball-reference.com/register/player.fcgi?id=kim---001geo</t>
  </si>
  <si>
    <t xml:space="preserve">비교군</t>
  </si>
  <si>
    <t xml:space="preserve">이상군</t>
  </si>
  <si>
    <t xml:space="preserve">Sang-kun Lee</t>
  </si>
  <si>
    <t xml:space="preserve">빙그레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</si>
  <si>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155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. 3</t>
    </r>
    <r>
      <rPr>
        <sz val="10"/>
        <rFont val="Noto Sans CJK SC"/>
        <family val="2"/>
      </rPr>
      <t xml:space="preserve">위 확인 못함</t>
    </r>
  </si>
  <si>
    <t xml:space="preserve">https://v.daum.net/v/qEG86xLK8P</t>
  </si>
  <si>
    <t xml:space="preserve">https://www.baseball-reference.com/register/player.fcgi?id=lee---018san</t>
  </si>
  <si>
    <t xml:space="preserve">이정훈</t>
  </si>
  <si>
    <t xml:space="preserve">Jeong-hoon Lee</t>
  </si>
  <si>
    <r>
      <rPr>
        <sz val="10"/>
        <rFont val="맑은 고딕"/>
        <family val="0"/>
        <charset val="1"/>
      </rPr>
      <t xml:space="preserve">1987</t>
    </r>
    <r>
      <rPr>
        <sz val="10"/>
        <rFont val="Noto Sans CJK SC"/>
        <family val="2"/>
      </rPr>
      <t xml:space="preserve">년 투표 </t>
    </r>
    <r>
      <rPr>
        <sz val="10"/>
        <rFont val="맑은 고딕"/>
        <family val="0"/>
        <charset val="1"/>
      </rPr>
      <t xml:space="preserve">2·3</t>
    </r>
    <r>
      <rPr>
        <sz val="10"/>
        <rFont val="Noto Sans CJK SC"/>
        <family val="2"/>
      </rPr>
      <t xml:space="preserve">위 확인 못함</t>
    </r>
  </si>
  <si>
    <t xml:space="preserve">https://www.baseball-reference.com/register/player.fcgi?id=lee---008jeo</t>
  </si>
  <si>
    <t xml:space="preserve">이용철</t>
  </si>
  <si>
    <t xml:space="preserve">Yong-cheol Lee</t>
  </si>
  <si>
    <r>
      <rPr>
        <sz val="10"/>
        <rFont val="맑은 고딕"/>
        <family val="0"/>
        <charset val="1"/>
      </rPr>
      <t xml:space="preserve">219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(27</t>
    </r>
    <r>
      <rPr>
        <sz val="10"/>
        <rFont val="Noto Sans CJK SC"/>
        <family val="2"/>
      </rPr>
      <t xml:space="preserve">표 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18·2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6)</t>
    </r>
  </si>
  <si>
    <t xml:space="preserve">https://v.daum.net/v/Q5fSvEe70m</t>
  </si>
  <si>
    <t xml:space="preserve">https://www.baseball-reference.com/register/player.fcgi?id=lee---005yon</t>
  </si>
  <si>
    <t xml:space="preserve">김상호</t>
  </si>
  <si>
    <t xml:space="preserve">Sang-ho Kim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</si>
  <si>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6·2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11, 136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). B-R</t>
    </r>
    <r>
      <rPr>
        <sz val="10"/>
        <rFont val="Noto Sans CJK SC"/>
        <family val="2"/>
      </rPr>
      <t xml:space="preserve">에 포지션 표기가 없어 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연도로만 동일인 확인</t>
    </r>
  </si>
  <si>
    <t xml:space="preserve">https://www.baseball-reference.com/register/player.fcgi?id=kim---012san</t>
  </si>
  <si>
    <t xml:space="preserve">경쟁후보</t>
  </si>
  <si>
    <t xml:space="preserve">김성규</t>
  </si>
  <si>
    <t xml:space="preserve">Sung-kyu Kim</t>
  </si>
  <si>
    <r>
      <rPr>
        <sz val="10"/>
        <rFont val="Noto Sans CJK SC"/>
        <family val="2"/>
      </rPr>
      <t xml:space="preserve">남은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표 획득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위라는 명시는 없음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연도로 동일인 확인</t>
    </r>
  </si>
  <si>
    <t xml:space="preserve">https://www.baseball-reference.com/register/player.fcgi?id=kim---030seo</t>
  </si>
  <si>
    <t xml:space="preserve">박정현</t>
  </si>
  <si>
    <t xml:space="preserve">Jeong-hyeon Pak</t>
  </si>
  <si>
    <t xml:space="preserve">태평양</t>
  </si>
  <si>
    <r>
      <rPr>
        <sz val="10"/>
        <rFont val="맑은 고딕"/>
        <family val="0"/>
        <charset val="1"/>
      </rPr>
      <t xml:space="preserve">1989</t>
    </r>
    <r>
      <rPr>
        <sz val="10"/>
        <rFont val="Noto Sans CJK SC"/>
        <family val="2"/>
      </rPr>
      <t xml:space="preserve">년 투표 순위 확인 못함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비교군은 </t>
    </r>
    <r>
      <rPr>
        <sz val="10"/>
        <rFont val="맑은 고딕"/>
        <family val="0"/>
        <charset val="1"/>
      </rPr>
      <t xml:space="preserve">1989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신인왕 경쟁 기사 기준</t>
    </r>
  </si>
  <si>
    <t xml:space="preserve">https://www.baseball-reference.com/register/player.fcgi?id=pak---004jeo</t>
  </si>
  <si>
    <t xml:space="preserve">강기웅</t>
  </si>
  <si>
    <t xml:space="preserve">Ki-woong Kang</t>
  </si>
  <si>
    <t xml:space="preserve">삼성</t>
  </si>
  <si>
    <r>
      <rPr>
        <sz val="10"/>
        <rFont val="맑은 고딕"/>
        <family val="0"/>
        <charset val="1"/>
      </rPr>
      <t xml:space="preserve">1989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기사에 신인왕 경쟁자로 언급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투표 순위 확인 못함</t>
    </r>
  </si>
  <si>
    <t xml:space="preserve">https://v.daum.net/v/Kpl2fluSVu</t>
  </si>
  <si>
    <t xml:space="preserve">https://www.baseball-reference.com/register/player.fcgi?id=kang--000gi-</t>
  </si>
  <si>
    <t xml:space="preserve">이강철</t>
  </si>
  <si>
    <t xml:space="preserve">Kang-chul Lee</t>
  </si>
  <si>
    <t xml:space="preserve">https://www.baseball-reference.com/register/player.fcgi?id=lee---001gan</t>
  </si>
  <si>
    <t xml:space="preserve">김동수</t>
  </si>
  <si>
    <t xml:space="preserve">Dong-soo Kim</t>
  </si>
  <si>
    <t xml:space="preserve">LG</t>
  </si>
  <si>
    <r>
      <rPr>
        <sz val="10"/>
        <rFont val="맑은 고딕"/>
        <family val="0"/>
        <charset val="1"/>
      </rPr>
      <t xml:space="preserve">375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)</t>
    </r>
  </si>
  <si>
    <t xml:space="preserve">https://v.daum.net/v/FrYY0RMUAS</t>
  </si>
  <si>
    <t xml:space="preserve">https://www.baseball-reference.com/register/player.fcgi?id=kim---008don</t>
  </si>
  <si>
    <t xml:space="preserve">이태일</t>
  </si>
  <si>
    <t xml:space="preserve">Tae-il Lee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</si>
  <si>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308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). 3</t>
    </r>
    <r>
      <rPr>
        <sz val="10"/>
        <rFont val="Noto Sans CJK SC"/>
        <family val="2"/>
      </rPr>
      <t xml:space="preserve">위 확인 못함</t>
    </r>
  </si>
  <si>
    <t xml:space="preserve">https://www.baseball-reference.com/register/player.fcgi?id=lee---005tae</t>
  </si>
  <si>
    <t xml:space="preserve">조규제</t>
  </si>
  <si>
    <t xml:space="preserve">Kyu-jae Cho</t>
  </si>
  <si>
    <t xml:space="preserve">쌍방울</t>
  </si>
  <si>
    <r>
      <rPr>
        <sz val="10"/>
        <rFont val="맑은 고딕"/>
        <family val="0"/>
        <charset val="1"/>
      </rPr>
      <t xml:space="preserve">435</t>
    </r>
    <r>
      <rPr>
        <sz val="10"/>
        <rFont val="Noto Sans CJK SC"/>
        <family val="2"/>
      </rPr>
      <t xml:space="preserve">점</t>
    </r>
  </si>
  <si>
    <t xml:space="preserve">https://v.daum.net/v/4CC2EjJGNp</t>
  </si>
  <si>
    <t xml:space="preserve">https://www.baseball-reference.com/register/player.fcgi?id=cho---001gyu</t>
  </si>
  <si>
    <t xml:space="preserve">김기태</t>
  </si>
  <si>
    <t xml:space="preserve">Gi-tae Kim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</si>
  <si>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307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. 3</t>
    </r>
    <r>
      <rPr>
        <sz val="10"/>
        <rFont val="Noto Sans CJK SC"/>
        <family val="2"/>
      </rPr>
      <t xml:space="preserve">위 확인 못함</t>
    </r>
  </si>
  <si>
    <t xml:space="preserve">https://www.baseball-reference.com/register/player.fcgi?id=kim---012gi-</t>
  </si>
  <si>
    <t xml:space="preserve">염종석</t>
  </si>
  <si>
    <t xml:space="preserve">Jong-seok Yeom</t>
  </si>
  <si>
    <t xml:space="preserve">롯데</t>
  </si>
  <si>
    <r>
      <rPr>
        <sz val="10"/>
        <rFont val="Noto Sans CJK SC"/>
        <family val="2"/>
      </rPr>
      <t xml:space="preserve">득표 확인 못함</t>
    </r>
    <r>
      <rPr>
        <sz val="10"/>
        <rFont val="맑은 고딕"/>
        <family val="0"/>
        <charset val="1"/>
      </rPr>
      <t xml:space="preserve">. 2</t>
    </r>
    <r>
      <rPr>
        <sz val="10"/>
        <rFont val="Noto Sans CJK SC"/>
        <family val="2"/>
      </rPr>
      <t xml:space="preserve">위는 정민철</t>
    </r>
  </si>
  <si>
    <t xml:space="preserve">https://isplus.com/article/view/isp200705310010</t>
  </si>
  <si>
    <t xml:space="preserve">https://www.baseball-reference.com/register/player.fcgi?id=yom---000jon</t>
  </si>
  <si>
    <t xml:space="preserve">정민철</t>
  </si>
  <si>
    <t xml:space="preserve">Min-chul Jeong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</si>
  <si>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점수 미공개</t>
    </r>
    <r>
      <rPr>
        <sz val="10"/>
        <rFont val="맑은 고딕"/>
        <family val="0"/>
        <charset val="1"/>
      </rPr>
      <t xml:space="preserve">). 3</t>
    </r>
    <r>
      <rPr>
        <sz val="10"/>
        <rFont val="Noto Sans CJK SC"/>
        <family val="2"/>
      </rPr>
      <t xml:space="preserve">위 확인 못함</t>
    </r>
  </si>
  <si>
    <t xml:space="preserve">https://www.baseball-reference.com/register/player.fcgi?id=jeong-000min</t>
  </si>
  <si>
    <t xml:space="preserve">양준혁</t>
  </si>
  <si>
    <t xml:space="preserve">Jun-hyeok Yang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</si>
  <si>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59 vs </t>
    </r>
    <r>
      <rPr>
        <sz val="10"/>
        <rFont val="Noto Sans CJK SC"/>
        <family val="2"/>
      </rPr>
      <t xml:space="preserve">이종범 </t>
    </r>
    <r>
      <rPr>
        <sz val="10"/>
        <rFont val="맑은 고딕"/>
        <family val="0"/>
        <charset val="1"/>
      </rPr>
      <t xml:space="preserve">8</t>
    </r>
  </si>
  <si>
    <t xml:space="preserve">https://www.khan.co.kr/article/200607051824281</t>
  </si>
  <si>
    <t xml:space="preserve">https://www.baseball-reference.com/register/player.fcgi?id=yang--000jun</t>
  </si>
  <si>
    <t xml:space="preserve">이종범</t>
  </si>
  <si>
    <t xml:space="preserve">Jong Beom Lee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</si>
  <si>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표로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. 3</t>
    </r>
    <r>
      <rPr>
        <sz val="10"/>
        <rFont val="Noto Sans CJK SC"/>
        <family val="2"/>
      </rPr>
      <t xml:space="preserve">위는 확인 못함</t>
    </r>
  </si>
  <si>
    <t xml:space="preserve">https://www.khan.co.kr/article/200607051824281 https://osen.co.kr/article/G1109819901</t>
  </si>
  <si>
    <t xml:space="preserve">https://www.baseball-reference.com/register/player.fcgi?id=lee---003jon</t>
  </si>
  <si>
    <t xml:space="preserve">유지현</t>
  </si>
  <si>
    <t xml:space="preserve">Ji Hyun Ryu</t>
  </si>
  <si>
    <r>
      <rPr>
        <sz val="10"/>
        <rFont val="맑은 고딕"/>
        <family val="0"/>
        <charset val="1"/>
      </rPr>
      <t xml:space="preserve">367</t>
    </r>
    <r>
      <rPr>
        <sz val="10"/>
        <rFont val="Noto Sans CJK SC"/>
        <family val="2"/>
      </rPr>
      <t xml:space="preserve">점 </t>
    </r>
    <r>
      <rPr>
        <sz val="10"/>
        <rFont val="맑은 고딕"/>
        <family val="0"/>
        <charset val="1"/>
      </rPr>
      <t xml:space="preserve">vs </t>
    </r>
    <r>
      <rPr>
        <sz val="10"/>
        <rFont val="Noto Sans CJK SC"/>
        <family val="2"/>
      </rPr>
      <t xml:space="preserve">김재현 </t>
    </r>
    <r>
      <rPr>
        <sz val="10"/>
        <rFont val="맑은 고딕"/>
        <family val="0"/>
        <charset val="1"/>
      </rPr>
      <t xml:space="preserve">346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서용빈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. B-R </t>
    </r>
    <r>
      <rPr>
        <sz val="10"/>
        <rFont val="Noto Sans CJK SC"/>
        <family val="2"/>
      </rPr>
      <t xml:space="preserve">표기 </t>
    </r>
    <r>
      <rPr>
        <sz val="10"/>
        <rFont val="맑은 고딕"/>
        <family val="0"/>
        <charset val="1"/>
      </rPr>
      <t xml:space="preserve">Ryu</t>
    </r>
  </si>
  <si>
    <t xml:space="preserve">https://www.newsis.com/view/NISX20211206_0001677574</t>
  </si>
  <si>
    <t xml:space="preserve">https://www.baseball-reference.com/register/player.fcgi?id=yu----000ji-</t>
  </si>
  <si>
    <t xml:space="preserve">김재현</t>
  </si>
  <si>
    <t xml:space="preserve">Jae Hyun Kim</t>
  </si>
  <si>
    <r>
      <rPr>
        <sz val="10"/>
        <rFont val="맑은 고딕"/>
        <family val="0"/>
        <charset val="1"/>
      </rPr>
      <t xml:space="preserve">346</t>
    </r>
    <r>
      <rPr>
        <sz val="10"/>
        <rFont val="Noto Sans CJK SC"/>
        <family val="2"/>
      </rPr>
      <t xml:space="preserve">점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1994·1995 LG </t>
    </r>
    <r>
      <rPr>
        <sz val="10"/>
        <rFont val="Noto Sans CJK SC"/>
        <family val="2"/>
      </rPr>
      <t xml:space="preserve">팀 페이지에서 확인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선수 페이지는 </t>
    </r>
    <r>
      <rPr>
        <sz val="10"/>
        <rFont val="맑은 고딕"/>
        <family val="0"/>
        <charset val="1"/>
      </rPr>
      <t xml:space="preserve">rate limit)</t>
    </r>
  </si>
  <si>
    <t xml:space="preserve">https://www.baseball-reference.com/register/player.fcgi?id=kim---010jae</t>
  </si>
  <si>
    <t xml:space="preserve">서용빈</t>
  </si>
  <si>
    <t xml:space="preserve">Yong Bin Seo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</si>
  <si>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점수 미상</t>
    </r>
  </si>
  <si>
    <t xml:space="preserve">https://www.baseball-reference.com/register/player.fcgi?id=seo---000yon</t>
  </si>
  <si>
    <t xml:space="preserve">이동수</t>
  </si>
  <si>
    <t xml:space="preserve">Dong Soo Lee</t>
  </si>
  <si>
    <r>
      <rPr>
        <sz val="10"/>
        <rFont val="맑은 고딕"/>
        <family val="0"/>
        <charset val="1"/>
      </rPr>
      <t xml:space="preserve">480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40) vs </t>
    </r>
    <r>
      <rPr>
        <sz val="10"/>
        <rFont val="Noto Sans CJK SC"/>
        <family val="2"/>
      </rPr>
      <t xml:space="preserve">마해영 </t>
    </r>
    <r>
      <rPr>
        <sz val="10"/>
        <rFont val="맑은 고딕"/>
        <family val="0"/>
        <charset val="1"/>
      </rPr>
      <t xml:space="preserve">310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1995·1996 </t>
    </r>
    <r>
      <rPr>
        <sz val="10"/>
        <rFont val="Noto Sans CJK SC"/>
        <family val="2"/>
      </rPr>
      <t xml:space="preserve">삼성 팀 페이지에서 확인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1996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루 자리를 잃고 대타 위주로 기용</t>
    </r>
  </si>
  <si>
    <t xml:space="preserve">https://www.imaeil.com/page/view/2012031209090290651 http://star.ohmynews.com/NWS_Web/OhmyStar/at_pg.aspx?CNTN_CD=A0000356116</t>
  </si>
  <si>
    <t xml:space="preserve">https://www.baseball-reference.com/register/player.fcgi?id=lee---008don</t>
  </si>
  <si>
    <t xml:space="preserve">마해영</t>
  </si>
  <si>
    <t xml:space="preserve">Hae-Yeong Ma</t>
  </si>
  <si>
    <r>
      <rPr>
        <sz val="10"/>
        <rFont val="맑은 고딕"/>
        <family val="0"/>
        <charset val="1"/>
      </rPr>
      <t xml:space="preserve">310</t>
    </r>
    <r>
      <rPr>
        <sz val="10"/>
        <rFont val="Noto Sans CJK SC"/>
        <family val="2"/>
      </rPr>
      <t xml:space="preserve">점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. 3</t>
    </r>
    <r>
      <rPr>
        <sz val="10"/>
        <rFont val="Noto Sans CJK SC"/>
        <family val="2"/>
      </rPr>
      <t xml:space="preserve">위는 확인 못함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1995·1996 </t>
    </r>
    <r>
      <rPr>
        <sz val="10"/>
        <rFont val="Noto Sans CJK SC"/>
        <family val="2"/>
      </rPr>
      <t xml:space="preserve">롯데 팀 페이지에서 확인</t>
    </r>
  </si>
  <si>
    <t xml:space="preserve">https://www.imaeil.com/page/view/2012031209090290651</t>
  </si>
  <si>
    <t xml:space="preserve">https://www.baseball-reference.com/register/player.fcgi?id=ma----000hae</t>
  </si>
  <si>
    <t xml:space="preserve">박재홍</t>
  </si>
  <si>
    <t xml:space="preserve">Jae-hong Park</t>
  </si>
  <si>
    <t xml:space="preserve">현대</t>
  </si>
  <si>
    <r>
      <rPr>
        <sz val="10"/>
        <rFont val="Noto Sans CJK SC"/>
        <family val="2"/>
      </rPr>
      <t xml:space="preserve">유효표 </t>
    </r>
    <r>
      <rPr>
        <sz val="10"/>
        <rFont val="맑은 고딕"/>
        <family val="0"/>
        <charset val="1"/>
      </rPr>
      <t xml:space="preserve">65</t>
    </r>
    <r>
      <rPr>
        <sz val="10"/>
        <rFont val="Noto Sans CJK SC"/>
        <family val="2"/>
      </rPr>
      <t xml:space="preserve">표 만장일치라 </t>
    </r>
    <r>
      <rPr>
        <sz val="10"/>
        <rFont val="맑은 고딕"/>
        <family val="0"/>
        <charset val="1"/>
      </rPr>
      <t xml:space="preserve">2·3</t>
    </r>
    <r>
      <rPr>
        <sz val="10"/>
        <rFont val="Noto Sans CJK SC"/>
        <family val="2"/>
      </rPr>
      <t xml:space="preserve">위 없음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비교군 생략</t>
    </r>
  </si>
  <si>
    <t xml:space="preserve">https://osen.co.kr/article/G1112463534</t>
  </si>
  <si>
    <t xml:space="preserve">https://www.baseball-reference.com/register/player.fcgi?id=park--000jae</t>
  </si>
  <si>
    <t xml:space="preserve">이병규</t>
  </si>
  <si>
    <t xml:space="preserve">Byung Kyu Lee</t>
  </si>
  <si>
    <r>
      <rPr>
        <sz val="10"/>
        <rFont val="Noto Sans CJK SC"/>
        <family val="2"/>
      </rPr>
      <t xml:space="preserve">유효표 </t>
    </r>
    <r>
      <rPr>
        <sz val="10"/>
        <rFont val="맑은 고딕"/>
        <family val="0"/>
        <charset val="1"/>
      </rPr>
      <t xml:space="preserve">75</t>
    </r>
    <r>
      <rPr>
        <sz val="10"/>
        <rFont val="Noto Sans CJK SC"/>
        <family val="2"/>
      </rPr>
      <t xml:space="preserve">표 중 </t>
    </r>
    <r>
      <rPr>
        <sz val="10"/>
        <rFont val="맑은 고딕"/>
        <family val="0"/>
        <charset val="1"/>
      </rPr>
      <t xml:space="preserve">52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1997·1998 LG </t>
    </r>
    <r>
      <rPr>
        <sz val="10"/>
        <rFont val="Noto Sans CJK SC"/>
        <family val="2"/>
      </rPr>
      <t xml:space="preserve">팀 페이지에서 확인</t>
    </r>
  </si>
  <si>
    <t xml:space="preserve">https://v.daum.net/v/Z17mw3rNEZ</t>
  </si>
  <si>
    <t xml:space="preserve">https://www.baseball-reference.com/register/player.fcgi?id=lee---001byu</t>
  </si>
  <si>
    <t xml:space="preserve">신국환</t>
  </si>
  <si>
    <t xml:space="preserve">Guk-hwan Shin</t>
  </si>
  <si>
    <r>
      <rPr>
        <sz val="10"/>
        <rFont val="Noto Sans CJK SC"/>
        <family val="2"/>
      </rPr>
      <t xml:space="preserve">후보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명 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중고신인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득표 수 미공개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1997·1998 LG </t>
    </r>
    <r>
      <rPr>
        <sz val="10"/>
        <rFont val="Noto Sans CJK SC"/>
        <family val="2"/>
      </rPr>
      <t xml:space="preserve">팀 페이지에서 확인</t>
    </r>
  </si>
  <si>
    <t xml:space="preserve">https://www.baseball-reference.com/register/player.fcgi?id=shin--000guk</t>
  </si>
  <si>
    <t xml:space="preserve">임선동</t>
  </si>
  <si>
    <t xml:space="preserve">Sun-dong Lim</t>
  </si>
  <si>
    <r>
      <rPr>
        <sz val="10"/>
        <rFont val="Noto Sans CJK SC"/>
        <family val="2"/>
      </rPr>
      <t xml:space="preserve">후보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명 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득표 수 미공개</t>
    </r>
  </si>
  <si>
    <t xml:space="preserve">https://www.baseball-reference.com/register/player.fcgi?id=lim---000sun</t>
  </si>
  <si>
    <t xml:space="preserve">김수경</t>
  </si>
  <si>
    <t xml:space="preserve">Soo-kyung Kim</t>
  </si>
  <si>
    <r>
      <rPr>
        <sz val="10"/>
        <rFont val="맑은 고딕"/>
        <family val="0"/>
        <charset val="1"/>
      </rPr>
      <t xml:space="preserve">1998</t>
    </r>
    <r>
      <rPr>
        <sz val="10"/>
        <rFont val="Noto Sans CJK SC"/>
        <family val="2"/>
      </rPr>
      <t xml:space="preserve">년 투표 순위와 경쟁후보 기사를 찾지 못해 비교군 생략</t>
    </r>
  </si>
  <si>
    <t xml:space="preserve">https://www.baseball-reference.com/register/player.fcgi?id=kim---002soo</t>
  </si>
  <si>
    <t xml:space="preserve">홍성흔</t>
  </si>
  <si>
    <t xml:space="preserve">Sung Heon Hong</t>
  </si>
  <si>
    <t xml:space="preserve">두산</t>
  </si>
  <si>
    <r>
      <rPr>
        <sz val="10"/>
        <rFont val="Noto Sans CJK SC"/>
        <family val="2"/>
      </rPr>
      <t xml:space="preserve">유효표 </t>
    </r>
    <r>
      <rPr>
        <sz val="10"/>
        <rFont val="맑은 고딕"/>
        <family val="0"/>
        <charset val="1"/>
      </rPr>
      <t xml:space="preserve">82</t>
    </r>
    <r>
      <rPr>
        <sz val="10"/>
        <rFont val="Noto Sans CJK SC"/>
        <family val="2"/>
      </rPr>
      <t xml:space="preserve">표 중 </t>
    </r>
    <r>
      <rPr>
        <sz val="10"/>
        <rFont val="맑은 고딕"/>
        <family val="0"/>
        <charset val="1"/>
      </rPr>
      <t xml:space="preserve">55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vs </t>
    </r>
    <r>
      <rPr>
        <sz val="10"/>
        <rFont val="Noto Sans CJK SC"/>
        <family val="2"/>
      </rPr>
      <t xml:space="preserve">정성훈 </t>
    </r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1999·2000 </t>
    </r>
    <r>
      <rPr>
        <sz val="10"/>
        <rFont val="Noto Sans CJK SC"/>
        <family val="2"/>
      </rPr>
      <t xml:space="preserve">두산 팀 페이지에서 확인</t>
    </r>
  </si>
  <si>
    <t xml:space="preserve">https://www.hankookilbo.com/news/article/199911020054214732 https://v.daum.net/v/tttgm46hKQ</t>
  </si>
  <si>
    <t xml:space="preserve">https://www.baseball-reference.com/register/player.fcgi?id=hong--000seo</t>
  </si>
  <si>
    <t xml:space="preserve">정성훈</t>
  </si>
  <si>
    <t xml:space="preserve">Seong Hoon Jeong</t>
  </si>
  <si>
    <r>
      <rPr>
        <sz val="10"/>
        <rFont val="맑은 고딕"/>
        <family val="0"/>
        <charset val="1"/>
      </rPr>
      <t xml:space="preserve">27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박장희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현대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김상태</t>
    </r>
    <r>
      <rPr>
        <sz val="10"/>
        <rFont val="맑은 고딕"/>
        <family val="0"/>
        <charset val="1"/>
      </rPr>
      <t xml:space="preserve">(LG)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표라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 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1999·2000 </t>
    </r>
    <r>
      <rPr>
        <sz val="10"/>
        <rFont val="Noto Sans CJK SC"/>
        <family val="2"/>
      </rPr>
      <t xml:space="preserve">해태 팀 페이지에서 확인</t>
    </r>
  </si>
  <si>
    <t xml:space="preserve">https://www.hankookilbo.com/news/article/199911020054214732</t>
  </si>
  <si>
    <t xml:space="preserve">https://www.baseball-reference.com/register/player.fcgi?id=jeong-002seo</t>
  </si>
  <si>
    <t xml:space="preserve">이승호</t>
  </si>
  <si>
    <t xml:space="preserve">Seung Ho Lee</t>
  </si>
  <si>
    <t xml:space="preserve">SK</t>
  </si>
  <si>
    <r>
      <rPr>
        <sz val="10"/>
        <rFont val="Noto Sans CJK SC"/>
        <family val="2"/>
      </rPr>
      <t xml:space="preserve">득표 확인 못함</t>
    </r>
    <r>
      <rPr>
        <sz val="10"/>
        <rFont val="맑은 고딕"/>
        <family val="0"/>
        <charset val="1"/>
      </rPr>
      <t xml:space="preserve">. B-R </t>
    </r>
    <r>
      <rPr>
        <sz val="10"/>
        <rFont val="Noto Sans CJK SC"/>
        <family val="2"/>
      </rPr>
      <t xml:space="preserve">생년 표기</t>
    </r>
    <r>
      <rPr>
        <sz val="10"/>
        <rFont val="맑은 고딕"/>
        <family val="0"/>
        <charset val="1"/>
      </rPr>
      <t xml:space="preserve">(1976)</t>
    </r>
    <r>
      <rPr>
        <sz val="10"/>
        <rFont val="Noto Sans CJK SC"/>
        <family val="2"/>
      </rPr>
      <t xml:space="preserve">가 실제와 다르지만 경력</t>
    </r>
    <r>
      <rPr>
        <sz val="10"/>
        <rFont val="맑은 고딕"/>
        <family val="0"/>
        <charset val="1"/>
      </rPr>
      <t xml:space="preserve">(SK 2000~2011)</t>
    </r>
    <r>
      <rPr>
        <sz val="10"/>
        <rFont val="Noto Sans CJK SC"/>
        <family val="2"/>
      </rPr>
      <t xml:space="preserve">으로 동일인 확인</t>
    </r>
  </si>
  <si>
    <t xml:space="preserve">https://www.baseball-reference.com/register/player.fcgi?id=lee---004seu</t>
  </si>
  <si>
    <t xml:space="preserve">조규수</t>
  </si>
  <si>
    <t xml:space="preserve">Kyu-soo Cho</t>
  </si>
  <si>
    <t xml:space="preserve">한화</t>
  </si>
  <si>
    <r>
      <rPr>
        <sz val="10"/>
        <rFont val="Noto Sans CJK SC"/>
        <family val="2"/>
      </rPr>
      <t xml:space="preserve">이승호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조규수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파전 보도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득표 미확인</t>
    </r>
  </si>
  <si>
    <t xml:space="preserve">https://www.hankookilbo.com/news/article/200011150055799100 https://www.khan.co.kr/article/200010061909171</t>
  </si>
  <si>
    <t xml:space="preserve">https://www.baseball-reference.com/register/player.fcgi?id=cho---000kyu</t>
  </si>
  <si>
    <t xml:space="preserve">김태균</t>
  </si>
  <si>
    <t xml:space="preserve">Tae-Kyun Kim</t>
  </si>
  <si>
    <r>
      <rPr>
        <sz val="10"/>
        <rFont val="Noto Sans CJK SC"/>
        <family val="2"/>
      </rPr>
      <t xml:space="preserve">결선투표 </t>
    </r>
    <r>
      <rPr>
        <sz val="10"/>
        <rFont val="맑은 고딕"/>
        <family val="0"/>
        <charset val="1"/>
      </rPr>
      <t xml:space="preserve">41-31</t>
    </r>
    <r>
      <rPr>
        <sz val="10"/>
        <rFont val="Noto Sans CJK SC"/>
        <family val="2"/>
      </rPr>
      <t xml:space="preserve">로 박한이를 이김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뉴시스는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0"/>
        <charset val="1"/>
      </rPr>
      <t xml:space="preserve">41-39, </t>
    </r>
    <r>
      <rPr>
        <sz val="10"/>
        <rFont val="Noto Sans CJK SC"/>
        <family val="2"/>
      </rPr>
      <t xml:space="preserve">결선 </t>
    </r>
    <r>
      <rPr>
        <sz val="10"/>
        <rFont val="맑은 고딕"/>
        <family val="0"/>
        <charset val="1"/>
      </rPr>
      <t xml:space="preserve">36-26</t>
    </r>
    <r>
      <rPr>
        <sz val="10"/>
        <rFont val="Noto Sans CJK SC"/>
        <family val="2"/>
      </rPr>
      <t xml:space="preserve">으로 보도</t>
    </r>
  </si>
  <si>
    <t xml:space="preserve">https://www.seoul.co.kr/news/2001/11/01/20011101020005 https://www.newsis.com/view/NISX20211206_0001677574</t>
  </si>
  <si>
    <t xml:space="preserve">https://www.baseball-reference.com/register/player.fcgi?id=kim---001tae</t>
  </si>
  <si>
    <t xml:space="preserve">박한이</t>
  </si>
  <si>
    <t xml:space="preserve">Han-Yi Park</t>
  </si>
  <si>
    <r>
      <rPr>
        <sz val="10"/>
        <rFont val="Noto Sans CJK SC"/>
        <family val="2"/>
      </rPr>
      <t xml:space="preserve">결선투표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. 3</t>
    </r>
    <r>
      <rPr>
        <sz val="10"/>
        <rFont val="Noto Sans CJK SC"/>
        <family val="2"/>
      </rPr>
      <t xml:space="preserve">위는 확인 못함</t>
    </r>
  </si>
  <si>
    <t xml:space="preserve">https://www.seoul.co.kr/news/2001/11/01/20011101020005</t>
  </si>
  <si>
    <t xml:space="preserve">https://www.baseball-reference.com/register/player.fcgi?id=park--000han</t>
  </si>
  <si>
    <t xml:space="preserve">조용준</t>
  </si>
  <si>
    <t xml:space="preserve">Yong-Joon Cho</t>
  </si>
  <si>
    <r>
      <rPr>
        <sz val="10"/>
        <rFont val="맑은 고딕"/>
        <family val="0"/>
        <charset val="1"/>
      </rPr>
      <t xml:space="preserve">61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vs </t>
    </r>
    <r>
      <rPr>
        <sz val="10"/>
        <rFont val="Noto Sans CJK SC"/>
        <family val="2"/>
      </rPr>
      <t xml:space="preserve">김진우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박용택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표</t>
    </r>
  </si>
  <si>
    <t xml:space="preserve">https://www.hankookilbo.com/News/Read/200211150046205532</t>
  </si>
  <si>
    <t xml:space="preserve">https://www.baseball-reference.com/register/player.fcgi?id=cho---001yon</t>
  </si>
  <si>
    <t xml:space="preserve">김진우</t>
  </si>
  <si>
    <t xml:space="preserve">Jin-woo Kim</t>
  </si>
  <si>
    <t xml:space="preserve">KIA</t>
  </si>
  <si>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</si>
  <si>
    <t xml:space="preserve">https://www.baseball-reference.com/register/player.fcgi?id=kim---004jin</t>
  </si>
  <si>
    <t xml:space="preserve">박용택</t>
  </si>
  <si>
    <t xml:space="preserve">Yong Taik Park</t>
  </si>
  <si>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2002·2003 LG </t>
    </r>
    <r>
      <rPr>
        <sz val="10"/>
        <rFont val="Noto Sans CJK SC"/>
        <family val="2"/>
      </rPr>
      <t xml:space="preserve">팀 페이지에서 확인</t>
    </r>
  </si>
  <si>
    <t xml:space="preserve">https://www.baseball-reference.com/register/player.fcgi?id=park--002yon</t>
  </si>
  <si>
    <t xml:space="preserve">이동학</t>
  </si>
  <si>
    <t xml:space="preserve">Dong-hak Lee</t>
  </si>
  <si>
    <r>
      <rPr>
        <sz val="10"/>
        <rFont val="Noto Sans CJK SC"/>
        <family val="2"/>
      </rPr>
      <t xml:space="preserve">결선</t>
    </r>
    <r>
      <rPr>
        <sz val="10"/>
        <rFont val="맑은 고딕"/>
        <family val="0"/>
        <charset val="1"/>
      </rPr>
      <t xml:space="preserve">(2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투표 끝에 이택근을 제치고 수상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차 득표수 미확인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2004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경기만 등판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사유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부상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출처에서 확인 못함</t>
    </r>
  </si>
  <si>
    <t xml:space="preserve">https://www.hankookilbo.com/news/article/200310280084168078</t>
  </si>
  <si>
    <t xml:space="preserve">https://www.baseball-reference.com/register/player.fcgi?id=lee---004don</t>
  </si>
  <si>
    <t xml:space="preserve">이택근</t>
  </si>
  <si>
    <t xml:space="preserve">Taek-keun Lee</t>
  </si>
  <si>
    <r>
      <rPr>
        <sz val="10"/>
        <rFont val="Noto Sans CJK SC"/>
        <family val="2"/>
      </rPr>
      <t xml:space="preserve">결선 투표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득표수 미확인</t>
    </r>
    <r>
      <rPr>
        <sz val="10"/>
        <rFont val="맑은 고딕"/>
        <family val="0"/>
        <charset val="1"/>
      </rPr>
      <t xml:space="preserve">), 3</t>
    </r>
    <r>
      <rPr>
        <sz val="10"/>
        <rFont val="Noto Sans CJK SC"/>
        <family val="2"/>
      </rPr>
      <t xml:space="preserve">위 미확인</t>
    </r>
  </si>
  <si>
    <t xml:space="preserve">https://www.seoul.co.kr/news/2003/10/28/20031028030001</t>
  </si>
  <si>
    <t xml:space="preserve">https://www.baseball-reference.com/register/player.fcgi?id=lee---004tae</t>
  </si>
  <si>
    <t xml:space="preserve">오재영</t>
  </si>
  <si>
    <t xml:space="preserve">Jae-young Oh</t>
  </si>
  <si>
    <r>
      <rPr>
        <sz val="10"/>
        <rFont val="맑은 고딕"/>
        <family val="0"/>
        <charset val="1"/>
      </rPr>
      <t xml:space="preserve">2004 </t>
    </r>
    <r>
      <rPr>
        <sz val="10"/>
        <rFont val="Noto Sans CJK SC"/>
        <family val="2"/>
      </rPr>
      <t xml:space="preserve">신인왕은 오재영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오주원은 개명 후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동일인</t>
    </r>
    <r>
      <rPr>
        <sz val="10"/>
        <rFont val="맑은 고딕"/>
        <family val="0"/>
        <charset val="1"/>
      </rPr>
      <t xml:space="preserve">) - 53</t>
    </r>
    <r>
      <rPr>
        <sz val="10"/>
        <rFont val="Noto Sans CJK SC"/>
        <family val="2"/>
      </rPr>
      <t xml:space="preserve">표</t>
    </r>
  </si>
  <si>
    <t xml:space="preserve">https://www.nocutnews.co.kr/news/32984</t>
  </si>
  <si>
    <t xml:space="preserve">https://www.baseball-reference.com/register/player.fcgi?id=oh----002jae</t>
  </si>
  <si>
    <t xml:space="preserve">권오준</t>
  </si>
  <si>
    <t xml:space="preserve">Oh-jun Kwon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</si>
  <si>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43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, 3</t>
    </r>
    <r>
      <rPr>
        <sz val="10"/>
        <rFont val="Noto Sans CJK SC"/>
        <family val="2"/>
      </rPr>
      <t xml:space="preserve">위 미확인</t>
    </r>
  </si>
  <si>
    <t xml:space="preserve">https://www.baseball-reference.com/register/player.fcgi?id=kwon--000oh-</t>
  </si>
  <si>
    <t xml:space="preserve">오승환</t>
  </si>
  <si>
    <t xml:space="preserve">Seung-hwan Oh</t>
  </si>
  <si>
    <r>
      <rPr>
        <sz val="10"/>
        <rFont val="맑은 고딕"/>
        <family val="0"/>
        <charset val="1"/>
      </rPr>
      <t xml:space="preserve">88</t>
    </r>
    <r>
      <rPr>
        <sz val="10"/>
        <rFont val="Noto Sans CJK SC"/>
        <family val="2"/>
      </rPr>
      <t xml:space="preserve">표 중 </t>
    </r>
    <r>
      <rPr>
        <sz val="10"/>
        <rFont val="맑은 고딕"/>
        <family val="0"/>
        <charset val="1"/>
      </rPr>
      <t xml:space="preserve">85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, 2·3</t>
    </r>
    <r>
      <rPr>
        <sz val="10"/>
        <rFont val="Noto Sans CJK SC"/>
        <family val="2"/>
      </rPr>
      <t xml:space="preserve">위 득표 미확인</t>
    </r>
  </si>
  <si>
    <t xml:space="preserve">https://www.hankookilbo.com/news/article/200510310085673710</t>
  </si>
  <si>
    <t xml:space="preserve">https://www.baseball-reference.com/register/player.fcgi?id=oh----000seu</t>
  </si>
  <si>
    <t xml:space="preserve">김명제</t>
  </si>
  <si>
    <t xml:space="preserve">Myeong-je Kim</t>
  </si>
  <si>
    <r>
      <rPr>
        <sz val="10"/>
        <rFont val="맑은 고딕"/>
        <family val="0"/>
        <charset val="1"/>
      </rPr>
      <t xml:space="preserve">KBO </t>
    </r>
    <r>
      <rPr>
        <sz val="10"/>
        <rFont val="Noto Sans CJK SC"/>
        <family val="2"/>
      </rPr>
      <t xml:space="preserve">선정 신인왕 후보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인 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득표 미확인</t>
    </r>
  </si>
  <si>
    <t xml:space="preserve">https://www.hankookilbo.com/news/article/200510210016177337</t>
  </si>
  <si>
    <t xml:space="preserve">https://www.baseball-reference.com/register/player.fcgi?id=min---000mye</t>
  </si>
  <si>
    <t xml:space="preserve">김성배</t>
  </si>
  <si>
    <t xml:space="preserve">Sung-bae Kim</t>
  </si>
  <si>
    <r>
      <rPr>
        <sz val="10"/>
        <rFont val="맑은 고딕"/>
        <family val="0"/>
        <charset val="1"/>
      </rPr>
      <t xml:space="preserve">KBO </t>
    </r>
    <r>
      <rPr>
        <sz val="10"/>
        <rFont val="Noto Sans CJK SC"/>
        <family val="2"/>
      </rPr>
      <t xml:space="preserve">선정 신인왕 후보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오승환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김성배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김명제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조동화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득표 미확인</t>
    </r>
  </si>
  <si>
    <t xml:space="preserve">https://www.baseball-reference.com/register/player.fcgi?id=kim---003sun</t>
  </si>
  <si>
    <t xml:space="preserve">류현진</t>
  </si>
  <si>
    <t xml:space="preserve">Hyun-jin Ryu</t>
  </si>
  <si>
    <r>
      <rPr>
        <sz val="10"/>
        <rFont val="맑은 고딕"/>
        <family val="0"/>
        <charset val="1"/>
      </rPr>
      <t xml:space="preserve">82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해 </t>
    </r>
    <r>
      <rPr>
        <sz val="10"/>
        <rFont val="맑은 고딕"/>
        <family val="0"/>
        <charset val="1"/>
      </rPr>
      <t xml:space="preserve">MVP </t>
    </r>
    <r>
      <rPr>
        <sz val="10"/>
        <rFont val="Noto Sans CJK SC"/>
        <family val="2"/>
      </rPr>
      <t xml:space="preserve">동시 수상</t>
    </r>
    <r>
      <rPr>
        <sz val="10"/>
        <rFont val="맑은 고딕"/>
        <family val="0"/>
        <charset val="1"/>
      </rPr>
      <t xml:space="preserve">)</t>
    </r>
  </si>
  <si>
    <t xml:space="preserve">https://www.khan.co.kr/article/200611021753181</t>
  </si>
  <si>
    <t xml:space="preserve">https://www.baseball-reference.com/register/player.fcgi?id=ryu---000hye</t>
  </si>
  <si>
    <t xml:space="preserve">한기주</t>
  </si>
  <si>
    <t xml:space="preserve">Ki-joo Han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</si>
  <si>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</si>
  <si>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https://www.baseball-reference.com/register/player.fcgi?id=han---000gi-</t>
  </si>
  <si>
    <t xml:space="preserve">장원삼</t>
  </si>
  <si>
    <t xml:space="preserve">Won-sam Jang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</si>
  <si>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</si>
  <si>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https://www.baseball-reference.com/register/player.fcgi?id=jang--000won</t>
  </si>
  <si>
    <t xml:space="preserve">임태훈</t>
  </si>
  <si>
    <t xml:space="preserve">Tae-hoon Im</t>
  </si>
  <si>
    <r>
      <rPr>
        <sz val="10"/>
        <rFont val="맑은 고딕"/>
        <family val="0"/>
        <charset val="1"/>
      </rPr>
      <t xml:space="preserve">91</t>
    </r>
    <r>
      <rPr>
        <sz val="10"/>
        <rFont val="Noto Sans CJK SC"/>
        <family val="2"/>
      </rPr>
      <t xml:space="preserve">표 중 </t>
    </r>
    <r>
      <rPr>
        <sz val="10"/>
        <rFont val="맑은 고딕"/>
        <family val="0"/>
        <charset val="1"/>
      </rPr>
      <t xml:space="preserve">79</t>
    </r>
    <r>
      <rPr>
        <sz val="10"/>
        <rFont val="Noto Sans CJK SC"/>
        <family val="2"/>
      </rPr>
      <t xml:space="preserve">표</t>
    </r>
  </si>
  <si>
    <t xml:space="preserve">https://www.hankookilbo.com/news/article/200711050577626679</t>
  </si>
  <si>
    <t xml:space="preserve">https://www.baseball-reference.com/register/player.fcgi?id=yim---000tae</t>
  </si>
  <si>
    <t xml:space="preserve">김현수</t>
  </si>
  <si>
    <t xml:space="preserve">Hyun-soo Kim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</si>
  <si>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</si>
  <si>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https://www.baseball-reference.com/register/player.fcgi?id=kim---004hye</t>
  </si>
  <si>
    <t xml:space="preserve">조용훈</t>
  </si>
  <si>
    <t xml:space="preserve">Yong-hun Cho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</si>
  <si>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현대 해체 후 </t>
    </r>
    <r>
      <rPr>
        <sz val="10"/>
        <rFont val="맑은 고딕"/>
        <family val="0"/>
        <charset val="1"/>
      </rPr>
      <t xml:space="preserve">2008</t>
    </r>
    <r>
      <rPr>
        <sz val="10"/>
        <rFont val="Noto Sans CJK SC"/>
        <family val="2"/>
      </rPr>
      <t xml:space="preserve">년 우리 히어로즈 소속</t>
    </r>
  </si>
  <si>
    <t xml:space="preserve">https://www.baseball-reference.com/register/player.fcgi?id=cho---000yon</t>
  </si>
  <si>
    <t xml:space="preserve">최형우</t>
  </si>
  <si>
    <t xml:space="preserve">Hyoung-woo Choi</t>
  </si>
  <si>
    <r>
      <rPr>
        <sz val="10"/>
        <rFont val="맑은 고딕"/>
        <family val="0"/>
        <charset val="1"/>
      </rPr>
      <t xml:space="preserve">76</t>
    </r>
    <r>
      <rPr>
        <sz val="10"/>
        <rFont val="Noto Sans CJK SC"/>
        <family val="2"/>
      </rPr>
      <t xml:space="preserve">표</t>
    </r>
  </si>
  <si>
    <t xml:space="preserve">https://www.jjan.kr/article/20081106288338</t>
  </si>
  <si>
    <t xml:space="preserve">https://www.baseball-reference.com/register/player.fcgi?id=choi--000hyo</t>
  </si>
  <si>
    <t xml:space="preserve">김선빈</t>
  </si>
  <si>
    <t xml:space="preserve">Sun-bin Kim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</si>
  <si>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</si>
  <si>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https://www.baseball-reference.com/register/player.fcgi?id=kim---002seo</t>
  </si>
  <si>
    <r>
      <rPr>
        <sz val="10"/>
        <rFont val="Noto Sans CJK SC"/>
        <family val="2"/>
      </rPr>
      <t xml:space="preserve">손광민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현 손아섭</t>
    </r>
    <r>
      <rPr>
        <sz val="10"/>
        <rFont val="맑은 고딕"/>
        <family val="0"/>
        <charset val="1"/>
      </rPr>
      <t xml:space="preserve">)</t>
    </r>
  </si>
  <si>
    <t xml:space="preserve">Ah-seop Son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</si>
  <si>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당시 이름 손광민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선수 페이지 접속 실패로 </t>
    </r>
    <r>
      <rPr>
        <sz val="10"/>
        <rFont val="맑은 고딕"/>
        <family val="0"/>
        <charset val="1"/>
      </rPr>
      <t xml:space="preserve">2008 </t>
    </r>
    <r>
      <rPr>
        <sz val="10"/>
        <rFont val="Noto Sans CJK SC"/>
        <family val="2"/>
      </rPr>
      <t xml:space="preserve">롯데 팀 페이지에서 복사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선수 페이지 접속 실패로 </t>
    </r>
    <r>
      <rPr>
        <sz val="10"/>
        <rFont val="맑은 고딕"/>
        <family val="0"/>
        <charset val="1"/>
      </rPr>
      <t xml:space="preserve">2009 </t>
    </r>
    <r>
      <rPr>
        <sz val="10"/>
        <rFont val="Noto Sans CJK SC"/>
        <family val="2"/>
      </rPr>
      <t xml:space="preserve">롯데 팀 페이지에서 복사</t>
    </r>
  </si>
  <si>
    <t xml:space="preserve">https://www.baseball-reference.com/register/player.fcgi?id=son---000ah-</t>
  </si>
  <si>
    <t xml:space="preserve">이용찬</t>
  </si>
  <si>
    <t xml:space="preserve">Yong-chan Lee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</si>
  <si>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표 중 </t>
    </r>
    <r>
      <rPr>
        <sz val="10"/>
        <rFont val="맑은 고딕"/>
        <family val="0"/>
        <charset val="1"/>
      </rPr>
      <t xml:space="preserve">42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과반 미달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결선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표</t>
    </r>
  </si>
  <si>
    <t xml:space="preserve">https://www.hankookilbo.com/news/article/200910280197607145</t>
  </si>
  <si>
    <t xml:space="preserve">https://www.baseball-reference.com/register/player.fcgi?id=lee---000yon</t>
  </si>
  <si>
    <t xml:space="preserve">안치홍</t>
  </si>
  <si>
    <t xml:space="preserve">Chi-hong An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</si>
  <si>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: 1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결선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. 3</t>
    </r>
    <r>
      <rPr>
        <sz val="10"/>
        <rFont val="Noto Sans CJK SC"/>
        <family val="2"/>
      </rPr>
      <t xml:space="preserve">위 미확인</t>
    </r>
  </si>
  <si>
    <t xml:space="preserve">https://www.baseball-reference.com/register/player.fcgi?id=an----000chi</t>
  </si>
  <si>
    <t xml:space="preserve">양의지</t>
  </si>
  <si>
    <t xml:space="preserve">Eui-ji Yang</t>
  </si>
  <si>
    <r>
      <rPr>
        <sz val="10"/>
        <rFont val="맑은 고딕"/>
        <family val="0"/>
        <charset val="1"/>
      </rPr>
      <t xml:space="preserve">79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, B-R </t>
    </r>
    <r>
      <rPr>
        <sz val="10"/>
        <rFont val="Noto Sans CJK SC"/>
        <family val="2"/>
      </rPr>
      <t xml:space="preserve">표기 </t>
    </r>
    <r>
      <rPr>
        <sz val="10"/>
        <rFont val="맑은 고딕"/>
        <family val="0"/>
        <charset val="1"/>
      </rPr>
      <t xml:space="preserve">Ui-ji Yang</t>
    </r>
  </si>
  <si>
    <t xml:space="preserve">https://osen.co.kr/article/G1010250150</t>
  </si>
  <si>
    <t xml:space="preserve">https://www.baseball-reference.com/register/player.fcgi?id=yang--000ui-</t>
  </si>
  <si>
    <t xml:space="preserve">고원준</t>
  </si>
  <si>
    <t xml:space="preserve">Won-jun Ko</t>
  </si>
  <si>
    <t xml:space="preserve">넥센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</si>
  <si>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표로 이재곤과 공동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2011</t>
    </r>
    <r>
      <rPr>
        <sz val="10"/>
        <rFont val="Noto Sans CJK SC"/>
        <family val="2"/>
      </rPr>
      <t xml:space="preserve">년 롯데로 이적</t>
    </r>
  </si>
  <si>
    <t xml:space="preserve">https://www.baseball-reference.com/register/player.fcgi?id=ko----000won</t>
  </si>
  <si>
    <t xml:space="preserve">이재곤</t>
  </si>
  <si>
    <t xml:space="preserve">Jae-gon Lee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</si>
  <si>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표로 고원준과 공동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</si>
  <si>
    <t xml:space="preserve">https://www.baseball-reference.com/register/player.fcgi?id=lee---000jae</t>
  </si>
  <si>
    <t xml:space="preserve">오지환</t>
  </si>
  <si>
    <t xml:space="preserve">Ji-hwan Oh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</si>
  <si>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/ BA</t>
    </r>
    <r>
      <rPr>
        <sz val="10"/>
        <rFont val="Noto Sans CJK SC"/>
        <family val="2"/>
      </rPr>
      <t xml:space="preserve">는 선수 페이지 값</t>
    </r>
    <r>
      <rPr>
        <sz val="10"/>
        <rFont val="맑은 고딕"/>
        <family val="0"/>
        <charset val="1"/>
      </rPr>
      <t xml:space="preserve">(.241), </t>
    </r>
    <r>
      <rPr>
        <sz val="10"/>
        <rFont val="Noto Sans CJK SC"/>
        <family val="2"/>
      </rPr>
      <t xml:space="preserve">팀 페이지에는</t>
    </r>
    <r>
      <rPr>
        <sz val="10"/>
        <rFont val="맑은 고딕"/>
        <family val="0"/>
        <charset val="1"/>
      </rPr>
      <t xml:space="preserve">.242</t>
    </r>
    <r>
      <rPr>
        <sz val="10"/>
        <rFont val="Noto Sans CJK SC"/>
        <family val="2"/>
      </rPr>
      <t xml:space="preserve">로 표시</t>
    </r>
  </si>
  <si>
    <t xml:space="preserve">https://www.baseball-reference.com/register/player.fcgi?id=oh----000ji-</t>
  </si>
  <si>
    <t xml:space="preserve">배영섭</t>
  </si>
  <si>
    <t xml:space="preserve">Young-seop Bae</t>
  </si>
  <si>
    <r>
      <rPr>
        <sz val="10"/>
        <rFont val="맑은 고딕"/>
        <family val="0"/>
        <charset val="1"/>
      </rPr>
      <t xml:space="preserve">91</t>
    </r>
    <r>
      <rPr>
        <sz val="10"/>
        <rFont val="Noto Sans CJK SC"/>
        <family val="2"/>
      </rPr>
      <t xml:space="preserve">표 중 </t>
    </r>
    <r>
      <rPr>
        <sz val="10"/>
        <rFont val="맑은 고딕"/>
        <family val="0"/>
        <charset val="1"/>
      </rPr>
      <t xml:space="preserve">65</t>
    </r>
    <r>
      <rPr>
        <sz val="10"/>
        <rFont val="Noto Sans CJK SC"/>
        <family val="2"/>
      </rPr>
      <t xml:space="preserve">표</t>
    </r>
  </si>
  <si>
    <t xml:space="preserve">https://www.ajunews.com/view/20111107000328</t>
  </si>
  <si>
    <t xml:space="preserve">https://www.baseball-reference.com/register/player.fcgi?id=bae---000yeo</t>
  </si>
  <si>
    <t xml:space="preserve">임찬규</t>
  </si>
  <si>
    <t xml:space="preserve">Chan-kyu Im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</si>
  <si>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, 3</t>
    </r>
    <r>
      <rPr>
        <sz val="10"/>
        <rFont val="Noto Sans CJK SC"/>
        <family val="2"/>
      </rPr>
      <t xml:space="preserve">위 미확인</t>
    </r>
    <r>
      <rPr>
        <sz val="10"/>
        <rFont val="맑은 고딕"/>
        <family val="0"/>
        <charset val="1"/>
      </rPr>
      <t xml:space="preserve">(65+26=91</t>
    </r>
    <r>
      <rPr>
        <sz val="10"/>
        <rFont val="Noto Sans CJK SC"/>
        <family val="2"/>
      </rPr>
      <t xml:space="preserve">로 사실상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파전</t>
    </r>
    <r>
      <rPr>
        <sz val="10"/>
        <rFont val="맑은 고딕"/>
        <family val="0"/>
        <charset val="1"/>
      </rPr>
      <t xml:space="preserve">)</t>
    </r>
  </si>
  <si>
    <t xml:space="preserve">https://www.imaeil.com/page/view/2011110800062070408</t>
  </si>
  <si>
    <t xml:space="preserve">https://www.baseball-reference.com/register/player.fcgi?id=lim---007cha</t>
  </si>
  <si>
    <t xml:space="preserve">서건창</t>
  </si>
  <si>
    <t xml:space="preserve">Geon-chang Seo</t>
  </si>
  <si>
    <t xml:space="preserve">https://www.seoul.co.kr/news/sport/2012/11/05/20121105800080</t>
  </si>
  <si>
    <t xml:space="preserve">https://www.baseball-reference.com/register/player.fcgi?id=seo---000geo</t>
  </si>
  <si>
    <t xml:space="preserve">박지훈</t>
  </si>
  <si>
    <t xml:space="preserve">Ji-hoon Park</t>
  </si>
  <si>
    <t xml:space="preserve">https://www.baseball-reference.com/register/player.fcgi?id=park--001ji-</t>
  </si>
  <si>
    <t xml:space="preserve">최성훈</t>
  </si>
  <si>
    <t xml:space="preserve">Sung-hoon Choi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</si>
  <si>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표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2013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경기만 등판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사유 출처에서 확인 못함</t>
    </r>
  </si>
  <si>
    <t xml:space="preserve">https://www.baseball-reference.com/register/player.fcgi?id=choi--001sun</t>
  </si>
  <si>
    <t xml:space="preserve">이재학</t>
  </si>
  <si>
    <t xml:space="preserve">Lee Jae-hak</t>
  </si>
  <si>
    <t xml:space="preserve">NC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</si>
  <si>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77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/98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단일 투표제</t>
    </r>
    <r>
      <rPr>
        <sz val="10"/>
        <rFont val="맑은 고딕"/>
        <family val="0"/>
        <charset val="1"/>
      </rPr>
      <t xml:space="preserve">)</t>
    </r>
  </si>
  <si>
    <t xml:space="preserve">https://www.seoul.co.kr/news/sport/baseball/2013/11/05/20131105028016</t>
  </si>
  <si>
    <t xml:space="preserve">https://www.baseball-reference.com/register/player.fcgi?id=lee---001jae</t>
  </si>
  <si>
    <t xml:space="preserve">유희관</t>
  </si>
  <si>
    <t xml:space="preserve">Yoo Hee-kwan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</si>
  <si>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/98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</si>
  <si>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https://www.baseball-reference.com/register/player.fcgi?id=yu----000hui</t>
  </si>
  <si>
    <t xml:space="preserve">나성범</t>
  </si>
  <si>
    <t xml:space="preserve">Na Sung-bum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</si>
  <si>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/98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</si>
  <si>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https://www.baseball-reference.com/register/player.fcgi?id=na----000sun</t>
  </si>
  <si>
    <t xml:space="preserve">박민우</t>
  </si>
  <si>
    <t xml:space="preserve">Park Min-woo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</si>
  <si>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71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/99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단일 투표제</t>
    </r>
    <r>
      <rPr>
        <sz val="10"/>
        <rFont val="맑은 고딕"/>
        <family val="0"/>
        <charset val="1"/>
      </rPr>
      <t xml:space="preserve">)</t>
    </r>
  </si>
  <si>
    <t xml:space="preserve">https://www.seoul.co.kr/news/sport/baseball/2014/11/18/20141118800188</t>
  </si>
  <si>
    <t xml:space="preserve">https://www.baseball-reference.com/register/player.fcgi?id=park--004min</t>
  </si>
  <si>
    <t xml:space="preserve">조상우</t>
  </si>
  <si>
    <t xml:space="preserve">Cho Sang-woo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</si>
  <si>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/99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</si>
  <si>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https://www.baseball-reference.com/register/player.fcgi?id=cho---002san</t>
  </si>
  <si>
    <t xml:space="preserve">박해민</t>
  </si>
  <si>
    <t xml:space="preserve">Park Hae-min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</si>
  <si>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/99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</si>
  <si>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https://www.baseball-reference.com/register/player.fcgi?id=park--000hae</t>
  </si>
  <si>
    <t xml:space="preserve">구자욱</t>
  </si>
  <si>
    <t xml:space="preserve">Koo Ja-wook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</si>
  <si>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60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/100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단일 투표제</t>
    </r>
    <r>
      <rPr>
        <sz val="10"/>
        <rFont val="맑은 고딕"/>
        <family val="0"/>
        <charset val="1"/>
      </rPr>
      <t xml:space="preserve">)</t>
    </r>
  </si>
  <si>
    <t xml:space="preserve">https://kbmaeil.com/article/201511250146799</t>
  </si>
  <si>
    <t xml:space="preserve">https://www.baseball-reference.com/register/player.fcgi?id=koo---001ja-</t>
  </si>
  <si>
    <t xml:space="preserve">김하성</t>
  </si>
  <si>
    <t xml:space="preserve">Kim Ha-seong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</si>
  <si>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/100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</si>
  <si>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https://www.baseball-reference.com/register/player.fcgi?id=kim---001ha-</t>
  </si>
  <si>
    <t xml:space="preserve">조무근</t>
  </si>
  <si>
    <t xml:space="preserve">Cho Mu-geun</t>
  </si>
  <si>
    <t xml:space="preserve">KT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</si>
  <si>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/100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</si>
  <si>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https://www.baseball-reference.com/register/player.fcgi?id=cho---001moo</t>
  </si>
  <si>
    <t xml:space="preserve">신재영</t>
  </si>
  <si>
    <t xml:space="preserve">Shin Jae-young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</si>
  <si>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453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/465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90/93)</t>
    </r>
  </si>
  <si>
    <t xml:space="preserve">https://kbmaeil.com/article/201611150177027</t>
  </si>
  <si>
    <t xml:space="preserve">https://www.baseball-reference.com/register/player.fcgi?id=shin--001jae</t>
  </si>
  <si>
    <t xml:space="preserve">주권</t>
  </si>
  <si>
    <t xml:space="preserve">Joo Kwon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</si>
  <si>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147</t>
    </r>
    <r>
      <rPr>
        <sz val="10"/>
        <rFont val="Noto Sans CJK SC"/>
        <family val="2"/>
      </rPr>
      <t xml:space="preserve">점</t>
    </r>
  </si>
  <si>
    <t xml:space="preserve">https://www.baseball-reference.com/register/player.fcgi?id=joo---000kwa</t>
  </si>
  <si>
    <t xml:space="preserve">박주현</t>
  </si>
  <si>
    <t xml:space="preserve">Park Ju-hyun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</si>
  <si>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81</t>
    </r>
    <r>
      <rPr>
        <sz val="10"/>
        <rFont val="Noto Sans CJK SC"/>
        <family val="2"/>
      </rPr>
      <t xml:space="preserve">점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Y2 1</t>
    </r>
    <r>
      <rPr>
        <sz val="10"/>
        <rFont val="Noto Sans CJK SC"/>
        <family val="2"/>
      </rPr>
      <t xml:space="preserve">군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경기뿐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표본 매우 작음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</si>
  <si>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https://www.baseball-reference.com/register/player.fcgi?id=park--002joo</t>
  </si>
  <si>
    <t xml:space="preserve">이정후</t>
  </si>
  <si>
    <t xml:space="preserve">Lee Jung-hoo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</si>
  <si>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503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/535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98)</t>
    </r>
  </si>
  <si>
    <t xml:space="preserve">https://www.khan.co.kr/article/201711062140015</t>
  </si>
  <si>
    <t xml:space="preserve">https://www.baseball-reference.com/register/player.fcgi?id=lee---009jun</t>
  </si>
  <si>
    <t xml:space="preserve">김원중</t>
  </si>
  <si>
    <t xml:space="preserve">Kim Won-jung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</si>
  <si>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141</t>
    </r>
    <r>
      <rPr>
        <sz val="10"/>
        <rFont val="Noto Sans CJK SC"/>
        <family val="2"/>
      </rPr>
      <t xml:space="preserve">점</t>
    </r>
  </si>
  <si>
    <t xml:space="preserve">https://www.sidae.com/article/2017110614538031022</t>
  </si>
  <si>
    <t xml:space="preserve">https://www.baseball-reference.com/register/player.fcgi?id=kim---005won</t>
  </si>
  <si>
    <t xml:space="preserve">정현</t>
  </si>
  <si>
    <t xml:space="preserve">Jung Hyun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</si>
  <si>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113</t>
    </r>
    <r>
      <rPr>
        <sz val="10"/>
        <rFont val="Noto Sans CJK SC"/>
        <family val="2"/>
      </rPr>
      <t xml:space="preserve">점</t>
    </r>
  </si>
  <si>
    <t xml:space="preserve">https://www.baseball-reference.com/register/player.fcgi?id=chung-000hyu</t>
  </si>
  <si>
    <t xml:space="preserve">강백호</t>
  </si>
  <si>
    <t xml:space="preserve">Kang Baek-ho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</si>
  <si>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514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/555</t>
    </r>
    <r>
      <rPr>
        <sz val="10"/>
        <rFont val="Noto Sans CJK SC"/>
        <family val="2"/>
      </rPr>
      <t xml:space="preserve">점</t>
    </r>
  </si>
  <si>
    <t xml:space="preserve">https://m.seoul.co.kr/news/2018/11/19/20181119800040</t>
  </si>
  <si>
    <t xml:space="preserve">https://www.baseball-reference.com/register/player.fcgi?id=kang--000bae</t>
  </si>
  <si>
    <t xml:space="preserve">김혜성</t>
  </si>
  <si>
    <t xml:space="preserve">Kim Hye-seong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</si>
  <si>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161</t>
    </r>
    <r>
      <rPr>
        <sz val="10"/>
        <rFont val="Noto Sans CJK SC"/>
        <family val="2"/>
      </rPr>
      <t xml:space="preserve">점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2019</t>
    </r>
    <r>
      <rPr>
        <sz val="10"/>
        <rFont val="Noto Sans CJK SC"/>
        <family val="2"/>
      </rPr>
      <t xml:space="preserve">년 팀명 키움으로 변경</t>
    </r>
  </si>
  <si>
    <t xml:space="preserve">https://www.baseball-reference.com/register/player.fcgi?id=kim---016hye</t>
  </si>
  <si>
    <t xml:space="preserve">양창섭</t>
  </si>
  <si>
    <t xml:space="preserve">Yang Chang-seop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</si>
  <si>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101</t>
    </r>
    <r>
      <rPr>
        <sz val="10"/>
        <rFont val="Noto Sans CJK SC"/>
        <family val="2"/>
      </rPr>
      <t xml:space="preserve">점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2019 KBO </t>
    </r>
    <r>
      <rPr>
        <sz val="10"/>
        <rFont val="Noto Sans CJK SC"/>
        <family val="2"/>
      </rPr>
      <t xml:space="preserve">기록 없음</t>
    </r>
    <r>
      <rPr>
        <sz val="10"/>
        <rFont val="맑은 고딕"/>
        <family val="0"/>
        <charset val="1"/>
      </rPr>
      <t xml:space="preserve">: 2019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 팔꿈치 인대접합수술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뼛조각 제거 수술로 시즌 전체 재활</t>
    </r>
  </si>
  <si>
    <t xml:space="preserve">https://m.seoul.co.kr/news/2018/11/19/20181119800040 https://osen.co.kr/article/G1111574571</t>
  </si>
  <si>
    <t xml:space="preserve">https://www.baseball-reference.com/register/player.fcgi?id=yang--000cha</t>
  </si>
  <si>
    <t xml:space="preserve">정우영</t>
  </si>
  <si>
    <t xml:space="preserve">Jung Woo-young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</si>
  <si>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380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/550</t>
    </r>
    <r>
      <rPr>
        <sz val="10"/>
        <rFont val="Noto Sans CJK SC"/>
        <family val="2"/>
      </rPr>
      <t xml:space="preserve">점</t>
    </r>
  </si>
  <si>
    <t xml:space="preserve">https://www.kyeonggi.com/article/201911251100702</t>
  </si>
  <si>
    <t xml:space="preserve">https://www.baseball-reference.com/register/player.fcgi?id=jung--001woo</t>
  </si>
  <si>
    <t xml:space="preserve">이창진</t>
  </si>
  <si>
    <t xml:space="preserve">Lee Chang-jin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</si>
  <si>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171</t>
    </r>
    <r>
      <rPr>
        <sz val="10"/>
        <rFont val="Noto Sans CJK SC"/>
        <family val="2"/>
      </rPr>
      <t xml:space="preserve">점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: Y2 22</t>
    </r>
    <r>
      <rPr>
        <sz val="10"/>
        <rFont val="Noto Sans CJK SC"/>
        <family val="2"/>
      </rPr>
      <t xml:space="preserve">경기뿐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표본 작음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</si>
  <si>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https://www.baseball-reference.com/register/player.fcgi?id=lee---012cha</t>
  </si>
  <si>
    <t xml:space="preserve">전상현</t>
  </si>
  <si>
    <t xml:space="preserve">Jeon Sang-hyun</t>
  </si>
  <si>
    <r>
      <rPr>
        <sz val="10"/>
        <rFont val="Noto Sans CJK SC"/>
        <family val="2"/>
      </rPr>
      <t xml:space="preserve">투표 </t>
    </r>
    <r>
      <rPr>
        <sz val="10"/>
        <rFont val="맑은 고딕"/>
        <family val="0"/>
        <charset val="1"/>
      </rPr>
      <t xml:space="preserve">154</t>
    </r>
    <r>
      <rPr>
        <sz val="10"/>
        <rFont val="Noto Sans CJK SC"/>
        <family val="2"/>
      </rPr>
      <t xml:space="preserve">점</t>
    </r>
  </si>
  <si>
    <t xml:space="preserve">https://www.baseball-reference.com/register/player.fcgi?id=jeon--001san</t>
  </si>
  <si>
    <t xml:space="preserve">소형준</t>
  </si>
  <si>
    <t xml:space="preserve">Hyeong-jun So</t>
  </si>
  <si>
    <r>
      <rPr>
        <sz val="10"/>
        <rFont val="맑은 고딕"/>
        <family val="0"/>
        <charset val="1"/>
      </rPr>
      <t xml:space="preserve">511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점수제</t>
    </r>
    <r>
      <rPr>
        <sz val="10"/>
        <rFont val="맑은 고딕"/>
        <family val="0"/>
        <charset val="1"/>
      </rPr>
      <t xml:space="preserve">)</t>
    </r>
  </si>
  <si>
    <t xml:space="preserve">https://www.imaeil.com/page/view/2020113014493514180</t>
  </si>
  <si>
    <t xml:space="preserve">https://www.baseball-reference.com/register/player.fcgi?id=so----000hye</t>
  </si>
  <si>
    <t xml:space="preserve">홍창기</t>
  </si>
  <si>
    <t xml:space="preserve">Chang Ki Hong</t>
  </si>
  <si>
    <r>
      <rPr>
        <sz val="10"/>
        <rFont val="맑은 고딕"/>
        <family val="0"/>
        <charset val="1"/>
      </rPr>
      <t xml:space="preserve">185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3·2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49·3</t>
    </r>
    <r>
      <rPr>
        <sz val="10"/>
        <rFont val="Noto Sans CJK SC"/>
        <family val="2"/>
      </rPr>
      <t xml:space="preserve">위표 </t>
    </r>
    <r>
      <rPr>
        <sz val="10"/>
        <rFont val="맑은 고딕"/>
        <family val="0"/>
        <charset val="1"/>
      </rPr>
      <t xml:space="preserve">23; </t>
    </r>
    <r>
      <rPr>
        <sz val="10"/>
        <rFont val="Noto Sans CJK SC"/>
        <family val="2"/>
      </rPr>
      <t xml:space="preserve">경향 기사 본문의 </t>
    </r>
    <r>
      <rPr>
        <sz val="10"/>
        <rFont val="맑은 고딕"/>
        <family val="0"/>
        <charset val="1"/>
      </rPr>
      <t xml:space="preserve">75</t>
    </r>
    <r>
      <rPr>
        <sz val="10"/>
        <rFont val="Noto Sans CJK SC"/>
        <family val="2"/>
      </rPr>
      <t xml:space="preserve">점은 오기로 판단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</si>
  <si>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https://www.baseball-reference.com/register/player.fcgi?id=hong--000cha</t>
  </si>
  <si>
    <t xml:space="preserve">송명기</t>
  </si>
  <si>
    <t xml:space="preserve">Myung Gi Song</t>
  </si>
  <si>
    <r>
      <rPr>
        <sz val="10"/>
        <rFont val="맑은 고딕"/>
        <family val="0"/>
        <charset val="1"/>
      </rPr>
      <t xml:space="preserve">76</t>
    </r>
    <r>
      <rPr>
        <sz val="10"/>
        <rFont val="Noto Sans CJK SC"/>
        <family val="2"/>
      </rPr>
      <t xml:space="preserve">점</t>
    </r>
  </si>
  <si>
    <t xml:space="preserve">https://www.baseball-reference.com/register/player.fcgi?id=song--000myu</t>
  </si>
  <si>
    <t xml:space="preserve">이의리</t>
  </si>
  <si>
    <t xml:space="preserve">Eui-lee Lee</t>
  </si>
  <si>
    <r>
      <rPr>
        <sz val="10"/>
        <rFont val="맑은 고딕"/>
        <family val="0"/>
        <charset val="1"/>
      </rPr>
      <t xml:space="preserve">417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점수제</t>
    </r>
    <r>
      <rPr>
        <sz val="10"/>
        <rFont val="맑은 고딕"/>
        <family val="0"/>
        <charset val="1"/>
      </rPr>
      <t xml:space="preserve">)</t>
    </r>
  </si>
  <si>
    <t xml:space="preserve">https://osen.co.kr/article/G1111703943</t>
  </si>
  <si>
    <t xml:space="preserve">https://www.baseball-reference.com/register/player.fcgi?id=lee---000eui</t>
  </si>
  <si>
    <t xml:space="preserve">최준용</t>
  </si>
  <si>
    <t xml:space="preserve">Jun Yong Choi</t>
  </si>
  <si>
    <r>
      <rPr>
        <sz val="10"/>
        <rFont val="맑은 고딕"/>
        <family val="0"/>
        <charset val="1"/>
      </rPr>
      <t xml:space="preserve">368</t>
    </r>
    <r>
      <rPr>
        <sz val="10"/>
        <rFont val="Noto Sans CJK SC"/>
        <family val="2"/>
      </rPr>
      <t xml:space="preserve">점</t>
    </r>
  </si>
  <si>
    <t xml:space="preserve">https://www.baseball-reference.com/register/player.fcgi?id=choi--001jun</t>
  </si>
  <si>
    <t xml:space="preserve">장지훈</t>
  </si>
  <si>
    <t xml:space="preserve">Ji Hun Jang</t>
  </si>
  <si>
    <t xml:space="preserve">SSG</t>
  </si>
  <si>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점</t>
    </r>
  </si>
  <si>
    <t xml:space="preserve">https://www.baseball-reference.com/register/player.fcgi?id=jang--000jih</t>
  </si>
  <si>
    <t xml:space="preserve">정철원</t>
  </si>
  <si>
    <t xml:space="preserve">Cheol-won Jeong</t>
  </si>
  <si>
    <r>
      <rPr>
        <sz val="10"/>
        <rFont val="맑은 고딕"/>
        <family val="0"/>
        <charset val="1"/>
      </rPr>
      <t xml:space="preserve">74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/107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(2022</t>
    </r>
    <r>
      <rPr>
        <sz val="10"/>
        <rFont val="Noto Sans CJK SC"/>
        <family val="2"/>
      </rPr>
      <t xml:space="preserve">년부터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표 득표제</t>
    </r>
    <r>
      <rPr>
        <sz val="10"/>
        <rFont val="맑은 고딕"/>
        <family val="0"/>
        <charset val="1"/>
      </rPr>
      <t xml:space="preserve">)</t>
    </r>
  </si>
  <si>
    <t xml:space="preserve">https://www.mt.co.kr/sports/2022/11/17/202211171334771219O</t>
  </si>
  <si>
    <t xml:space="preserve">https://www.baseball-reference.com/register/player.fcgi?id=jeong-000che</t>
  </si>
  <si>
    <t xml:space="preserve">김인환</t>
  </si>
  <si>
    <t xml:space="preserve">In-hwan Kim</t>
  </si>
  <si>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</si>
  <si>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https://www.baseball-reference.com/register/player.fcgi?id=kim---006in-</t>
  </si>
  <si>
    <t xml:space="preserve">김도영</t>
  </si>
  <si>
    <t xml:space="preserve">Do Yeong Kim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</si>
  <si>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공동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수치는 </t>
    </r>
    <r>
      <rPr>
        <sz val="10"/>
        <rFont val="맑은 고딕"/>
        <family val="0"/>
        <charset val="1"/>
      </rPr>
      <t xml:space="preserve">B-R </t>
    </r>
    <r>
      <rPr>
        <sz val="10"/>
        <rFont val="Noto Sans CJK SC"/>
        <family val="2"/>
      </rPr>
      <t xml:space="preserve">팀 시즌 페이지에서 확인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선수 페이지는 조회 오류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</si>
  <si>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https://www.baseball-reference.com/register/player.fcgi?id=kim---001doy</t>
  </si>
  <si>
    <t xml:space="preserve">박영현</t>
  </si>
  <si>
    <t xml:space="preserve">Yeong Hyun Park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</si>
  <si>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공동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</si>
  <si>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https://www.baseball-reference.com/register/player.fcgi?id=park--000yeo</t>
  </si>
  <si>
    <t xml:space="preserve">황성빈</t>
  </si>
  <si>
    <t xml:space="preserve">Seong Bin Hwang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</si>
  <si>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박영현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김도영과 공동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</si>
  <si>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https://www.baseball-reference.com/register/player.fcgi?id=hwang-004seo</t>
  </si>
  <si>
    <t xml:space="preserve">문동주</t>
  </si>
  <si>
    <t xml:space="preserve">Dong Ju Moon</t>
  </si>
  <si>
    <r>
      <rPr>
        <sz val="10"/>
        <rFont val="맑은 고딕"/>
        <family val="0"/>
        <charset val="1"/>
      </rPr>
      <t xml:space="preserve">85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/111</t>
    </r>
    <r>
      <rPr>
        <sz val="10"/>
        <rFont val="Noto Sans CJK SC"/>
        <family val="2"/>
      </rPr>
      <t xml:space="preserve">표</t>
    </r>
  </si>
  <si>
    <t xml:space="preserve">https://www.mksports.co.kr/news/sports/10885017</t>
  </si>
  <si>
    <t xml:space="preserve">https://www.baseball-reference.com/register/player.fcgi?id=moon--002don</t>
  </si>
  <si>
    <t xml:space="preserve">윤영철</t>
  </si>
  <si>
    <t xml:space="preserve">Young Cheol Yoon</t>
  </si>
  <si>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</si>
  <si>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https://www.baseball-reference.com/register/player.fcgi?id=yoon--000you</t>
  </si>
  <si>
    <t xml:space="preserve">최지민</t>
  </si>
  <si>
    <t xml:space="preserve">Ji Min Choi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</si>
  <si>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사전 후보 목록에 없던 선수가 실제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윤동희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김동헌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</si>
  <si>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https://www.baseball-reference.com/register/player.fcgi?id=choi--000jim</t>
  </si>
  <si>
    <t xml:space="preserve">김택연</t>
  </si>
  <si>
    <t xml:space="preserve">Taek Yeon Kim</t>
  </si>
  <si>
    <r>
      <rPr>
        <sz val="10"/>
        <rFont val="맑은 고딕"/>
        <family val="0"/>
        <charset val="1"/>
      </rPr>
      <t xml:space="preserve">93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/101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(92.08%)</t>
    </r>
  </si>
  <si>
    <t xml:space="preserve">https://osen.co.kr/article/G1112463810</t>
  </si>
  <si>
    <t xml:space="preserve">https://www.baseball-reference.com/register/player.fcgi?id=kim---035tae</t>
  </si>
  <si>
    <t xml:space="preserve">황영묵</t>
  </si>
  <si>
    <t xml:space="preserve">Young Mook Hwang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</si>
  <si>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. SLG</t>
    </r>
    <r>
      <rPr>
        <sz val="10"/>
        <rFont val="Noto Sans CJK SC"/>
        <family val="2"/>
      </rPr>
      <t xml:space="preserve">는 선수 페이지 기준</t>
    </r>
    <r>
      <rPr>
        <sz val="10"/>
        <rFont val="맑은 고딕"/>
        <family val="0"/>
        <charset val="1"/>
      </rPr>
      <t xml:space="preserve">.372(</t>
    </r>
    <r>
      <rPr>
        <sz val="10"/>
        <rFont val="Noto Sans CJK SC"/>
        <family val="2"/>
      </rPr>
      <t xml:space="preserve">팀 페이지 조회에서는</t>
    </r>
    <r>
      <rPr>
        <sz val="10"/>
        <rFont val="맑은 고딕"/>
        <family val="0"/>
        <charset val="1"/>
      </rPr>
      <t xml:space="preserve">.373</t>
    </r>
    <r>
      <rPr>
        <sz val="10"/>
        <rFont val="Noto Sans CJK SC"/>
        <family val="2"/>
      </rPr>
      <t xml:space="preserve">로 읽힘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</si>
  <si>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https://www.baseball-reference.com/register/player.fcgi?id=hwang-000you</t>
  </si>
  <si>
    <t xml:space="preserve">정준재</t>
  </si>
  <si>
    <t xml:space="preserve">Jun Jae Jeong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</si>
  <si>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조병현과 공동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</si>
  <si>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https://www.baseball-reference.com/register/player.fcgi?id=jeong-001jun</t>
  </si>
  <si>
    <t xml:space="preserve">조병현</t>
  </si>
  <si>
    <t xml:space="preserve">Byeong Hyeon Jo</t>
  </si>
  <si>
    <t xml:space="preserve">https://www.baseball-reference.com/register/player.fcgi?id=jo----001bye</t>
  </si>
  <si>
    <t xml:space="preserve">안현민</t>
  </si>
  <si>
    <t xml:space="preserve">Hyun Min Ahn</t>
  </si>
  <si>
    <r>
      <rPr>
        <sz val="10"/>
        <rFont val="맑은 고딕"/>
        <family val="0"/>
        <charset val="1"/>
      </rPr>
      <t xml:space="preserve">110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/125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(88%)</t>
    </r>
  </si>
  <si>
    <t xml:space="preserve">https://www.starnewskorea.com/sports/2025/11/25/2025112506385672784</t>
  </si>
  <si>
    <t xml:space="preserve">https://www.baseball-reference.com/register/player.fcgi?id=ahn---000hyu</t>
  </si>
  <si>
    <t xml:space="preserve">정우주</t>
  </si>
  <si>
    <t xml:space="preserve">Woo Joo Jeong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</si>
  <si>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표</t>
    </r>
  </si>
  <si>
    <t xml:space="preserve">https://www.baseball-reference.com/register/player.fcgi?id=jeong-002woo</t>
  </si>
  <si>
    <t xml:space="preserve">성영탁</t>
  </si>
  <si>
    <t xml:space="preserve">Yeong Tak Sung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</si>
  <si>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공동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</si>
  <si>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https://www.baseball-reference.com/register/player.fcgi?id=sung--001yeo</t>
  </si>
  <si>
    <t xml:space="preserve">송승기</t>
  </si>
  <si>
    <t xml:space="preserve">Seung Ki Song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</si>
  <si>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성영탁과 공동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  <r>
      <rPr>
        <sz val="10"/>
        <rFont val="맑은 고딕"/>
        <family val="0"/>
        <charset val="1"/>
      </rPr>
      <t xml:space="preserve">)</t>
    </r>
  </si>
  <si>
    <t xml:space="preserve">https://www.baseball-reference.com/register/player.fcgi?id=song--003seu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</si>
</sst>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;\-0.000;0.000"/>
    <numFmt numFmtId="166" formatCode="0.00;\-0.00;0.00"/>
    <numFmt numFmtId="167" formatCode="0.0"/>
    <numFmt numFmtId="168" formatCode="\+0.000;\-0.000;0.000"/>
    <numFmt numFmtId="169" formatCode="\+0.00;\-0.00;0.00"/>
    <numFmt numFmtId="170" formatCode="\+0;\-0;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sz val="10"/>
      <name val="맑은 고딕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2F5597"/>
        <bgColor rgb="FF595959"/>
      </patternFill>
    </fill>
    <fill>
      <patternFill patternType="solid">
        <fgColor rgb="FF7F6000"/>
        <bgColor rgb="FF595959"/>
      </patternFill>
    </fill>
    <fill>
      <patternFill patternType="solid">
        <fgColor rgb="FF375623"/>
        <bgColor rgb="FF404040"/>
      </patternFill>
    </fill>
    <fill>
      <patternFill patternType="solid">
        <fgColor rgb="FF595959"/>
        <bgColor rgb="FF40404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4" min="3" style="0" width="8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11" min="9" style="0" width="7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8"/>
    <col collapsed="false" customWidth="true" hidden="false" outlineLevel="0" max="17" min="15" style="0" width="7"/>
    <col collapsed="false" customWidth="true" hidden="false" outlineLevel="0" max="18" min="18" style="0" width="9"/>
    <col collapsed="false" customWidth="true" hidden="false" outlineLevel="0" max="19" min="19" style="0" width="7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60"/>
    <col collapsed="false" customWidth="true" hidden="false" outlineLevel="0" max="25" min="24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</row>
    <row r="2" customFormat="false" ht="29.85" hidden="false" customHeight="false" outlineLevel="0" collapsed="false">
      <c r="A2" s="7" t="s">
        <v>25</v>
      </c>
      <c r="B2" s="7" t="n">
        <v>1983</v>
      </c>
      <c r="C2" s="7" t="n">
        <v>1</v>
      </c>
      <c r="D2" s="8" t="s">
        <v>26</v>
      </c>
      <c r="E2" s="9" t="s">
        <v>27</v>
      </c>
      <c r="F2" s="10" t="s">
        <v>28</v>
      </c>
      <c r="G2" s="7" t="s">
        <v>29</v>
      </c>
      <c r="H2" s="11" t="n">
        <v>1983</v>
      </c>
      <c r="I2" s="12" t="n">
        <v>97</v>
      </c>
      <c r="J2" s="13" t="n">
        <v>0.312</v>
      </c>
      <c r="K2" s="13" t="n">
        <v>0.796</v>
      </c>
      <c r="L2" s="14"/>
      <c r="M2" s="15"/>
      <c r="N2" s="11" t="n">
        <v>1984</v>
      </c>
      <c r="O2" s="12" t="n">
        <v>100</v>
      </c>
      <c r="P2" s="13" t="n">
        <v>0.306</v>
      </c>
      <c r="Q2" s="13" t="n">
        <v>0.813</v>
      </c>
      <c r="R2" s="14"/>
      <c r="S2" s="15"/>
      <c r="T2" s="16" t="n">
        <f aca="false">IF(AND(ISNUMBER(K2),ISNUMBER(Q2)),Q2-K2,"")</f>
        <v>0.0169999999999999</v>
      </c>
      <c r="U2" s="17" t="str">
        <f aca="false">IF(AND(ISNUMBER(L2),ISNUMBER(R2)),R2-L2,"")</f>
        <v/>
      </c>
      <c r="V2" s="18" t="n">
        <f aca="false">IF(AND(ISNUMBER(I2),ISNUMBER(O2)),O2-I2,"")</f>
        <v>3</v>
      </c>
      <c r="W2" s="19" t="s">
        <v>30</v>
      </c>
      <c r="X2" s="12"/>
      <c r="Y2" s="12" t="s">
        <v>31</v>
      </c>
    </row>
    <row r="3" customFormat="false" ht="15" hidden="false" customHeight="false" outlineLevel="0" collapsed="false">
      <c r="A3" s="7" t="s">
        <v>25</v>
      </c>
      <c r="B3" s="7" t="n">
        <v>1984</v>
      </c>
      <c r="C3" s="7" t="n">
        <v>1</v>
      </c>
      <c r="D3" s="8" t="s">
        <v>32</v>
      </c>
      <c r="E3" s="9" t="s">
        <v>33</v>
      </c>
      <c r="F3" s="10" t="s">
        <v>28</v>
      </c>
      <c r="G3" s="7" t="s">
        <v>34</v>
      </c>
      <c r="H3" s="11" t="n">
        <v>1984</v>
      </c>
      <c r="I3" s="12" t="n">
        <v>57</v>
      </c>
      <c r="J3" s="13"/>
      <c r="K3" s="13"/>
      <c r="L3" s="14" t="n">
        <v>2.84</v>
      </c>
      <c r="M3" s="15" t="n">
        <v>146</v>
      </c>
      <c r="N3" s="11" t="n">
        <v>1985</v>
      </c>
      <c r="O3" s="12" t="n">
        <v>41</v>
      </c>
      <c r="P3" s="13"/>
      <c r="Q3" s="13"/>
      <c r="R3" s="14" t="n">
        <v>3.34</v>
      </c>
      <c r="S3" s="15" t="n">
        <v>110.1</v>
      </c>
      <c r="T3" s="16" t="str">
        <f aca="false">IF(AND(ISNUMBER(K3),ISNUMBER(Q3)),Q3-K3,"")</f>
        <v/>
      </c>
      <c r="U3" s="17" t="n">
        <f aca="false">IF(AND(ISNUMBER(L3),ISNUMBER(R3)),R3-L3,"")</f>
        <v>0.5</v>
      </c>
      <c r="V3" s="18" t="n">
        <f aca="false">IF(AND(ISNUMBER(I3),ISNUMBER(O3)),O3-I3,"")</f>
        <v>-16</v>
      </c>
      <c r="W3" s="19" t="s">
        <v>35</v>
      </c>
      <c r="X3" s="12"/>
      <c r="Y3" s="12" t="s">
        <v>36</v>
      </c>
    </row>
    <row r="4" customFormat="false" ht="15" hidden="false" customHeight="false" outlineLevel="0" collapsed="false">
      <c r="A4" s="7" t="s">
        <v>25</v>
      </c>
      <c r="B4" s="7" t="n">
        <v>1985</v>
      </c>
      <c r="C4" s="7" t="n">
        <v>1</v>
      </c>
      <c r="D4" s="8" t="s">
        <v>37</v>
      </c>
      <c r="E4" s="9" t="s">
        <v>38</v>
      </c>
      <c r="F4" s="7" t="s">
        <v>39</v>
      </c>
      <c r="G4" s="7" t="s">
        <v>29</v>
      </c>
      <c r="H4" s="11" t="n">
        <v>1985</v>
      </c>
      <c r="I4" s="12" t="n">
        <v>99</v>
      </c>
      <c r="J4" s="13" t="n">
        <v>0.304</v>
      </c>
      <c r="K4" s="13" t="n">
        <v>0.842</v>
      </c>
      <c r="L4" s="14"/>
      <c r="M4" s="15"/>
      <c r="N4" s="11" t="n">
        <v>1986</v>
      </c>
      <c r="O4" s="12" t="n">
        <v>88</v>
      </c>
      <c r="P4" s="13" t="n">
        <v>0.257</v>
      </c>
      <c r="Q4" s="13" t="n">
        <v>0.776</v>
      </c>
      <c r="R4" s="14"/>
      <c r="S4" s="15"/>
      <c r="T4" s="16" t="n">
        <f aca="false">IF(AND(ISNUMBER(K4),ISNUMBER(Q4)),Q4-K4,"")</f>
        <v>-0.066</v>
      </c>
      <c r="U4" s="17" t="str">
        <f aca="false">IF(AND(ISNUMBER(L4),ISNUMBER(R4)),R4-L4,"")</f>
        <v/>
      </c>
      <c r="V4" s="18" t="n">
        <f aca="false">IF(AND(ISNUMBER(I4),ISNUMBER(O4)),O4-I4,"")</f>
        <v>-11</v>
      </c>
      <c r="W4" s="19" t="s">
        <v>40</v>
      </c>
      <c r="X4" s="12"/>
      <c r="Y4" s="12" t="s">
        <v>41</v>
      </c>
    </row>
    <row r="5" customFormat="false" ht="29.85" hidden="false" customHeight="false" outlineLevel="0" collapsed="false">
      <c r="A5" s="7" t="s">
        <v>25</v>
      </c>
      <c r="B5" s="7" t="n">
        <v>1986</v>
      </c>
      <c r="C5" s="7" t="n">
        <v>1</v>
      </c>
      <c r="D5" s="8" t="s">
        <v>42</v>
      </c>
      <c r="E5" s="9" t="s">
        <v>43</v>
      </c>
      <c r="F5" s="10" t="s">
        <v>44</v>
      </c>
      <c r="G5" s="7" t="s">
        <v>34</v>
      </c>
      <c r="H5" s="11" t="n">
        <v>1986</v>
      </c>
      <c r="I5" s="12" t="n">
        <v>37</v>
      </c>
      <c r="J5" s="13"/>
      <c r="K5" s="13"/>
      <c r="L5" s="14" t="n">
        <v>1.8</v>
      </c>
      <c r="M5" s="15" t="n">
        <v>229.2</v>
      </c>
      <c r="N5" s="11" t="n">
        <v>1987</v>
      </c>
      <c r="O5" s="12" t="n">
        <v>26</v>
      </c>
      <c r="P5" s="13"/>
      <c r="Q5" s="13"/>
      <c r="R5" s="14" t="n">
        <v>2.64</v>
      </c>
      <c r="S5" s="15" t="n">
        <v>163.1</v>
      </c>
      <c r="T5" s="16" t="str">
        <f aca="false">IF(AND(ISNUMBER(K5),ISNUMBER(Q5)),Q5-K5,"")</f>
        <v/>
      </c>
      <c r="U5" s="17" t="n">
        <f aca="false">IF(AND(ISNUMBER(L5),ISNUMBER(R5)),R5-L5,"")</f>
        <v>0.84</v>
      </c>
      <c r="V5" s="18" t="n">
        <f aca="false">IF(AND(ISNUMBER(I5),ISNUMBER(O5)),O5-I5,"")</f>
        <v>-11</v>
      </c>
      <c r="W5" s="19" t="s">
        <v>45</v>
      </c>
      <c r="X5" s="12" t="s">
        <v>46</v>
      </c>
      <c r="Y5" s="12" t="s">
        <v>47</v>
      </c>
    </row>
    <row r="6" customFormat="false" ht="15" hidden="false" customHeight="false" outlineLevel="0" collapsed="false">
      <c r="A6" s="20" t="s">
        <v>48</v>
      </c>
      <c r="B6" s="20" t="n">
        <v>1986</v>
      </c>
      <c r="C6" s="20" t="n">
        <v>2</v>
      </c>
      <c r="D6" s="21" t="s">
        <v>49</v>
      </c>
      <c r="E6" s="12" t="s">
        <v>50</v>
      </c>
      <c r="F6" s="20" t="s">
        <v>51</v>
      </c>
      <c r="G6" s="20" t="s">
        <v>34</v>
      </c>
      <c r="H6" s="20" t="n">
        <v>1986</v>
      </c>
      <c r="I6" s="21" t="n">
        <v>35</v>
      </c>
      <c r="J6" s="13"/>
      <c r="K6" s="13"/>
      <c r="L6" s="14" t="n">
        <v>2.63</v>
      </c>
      <c r="M6" s="15" t="n">
        <v>243.1</v>
      </c>
      <c r="N6" s="20" t="n">
        <v>1987</v>
      </c>
      <c r="O6" s="21" t="n">
        <v>33</v>
      </c>
      <c r="P6" s="13"/>
      <c r="Q6" s="13"/>
      <c r="R6" s="14" t="n">
        <v>2.55</v>
      </c>
      <c r="S6" s="15" t="n">
        <v>246.2</v>
      </c>
      <c r="T6" s="16" t="str">
        <f aca="false">IF(AND(ISNUMBER(K6),ISNUMBER(Q6)),Q6-K6,"")</f>
        <v/>
      </c>
      <c r="U6" s="17" t="n">
        <f aca="false">IF(AND(ISNUMBER(L6),ISNUMBER(R6)),R6-L6,"")</f>
        <v>-0.0800000000000001</v>
      </c>
      <c r="V6" s="18" t="n">
        <f aca="false">IF(AND(ISNUMBER(I6),ISNUMBER(O6)),O6-I6,"")</f>
        <v>-2</v>
      </c>
      <c r="W6" s="19" t="s">
        <v>52</v>
      </c>
      <c r="X6" s="12" t="s">
        <v>53</v>
      </c>
      <c r="Y6" s="12" t="s">
        <v>54</v>
      </c>
    </row>
    <row r="7" customFormat="false" ht="15" hidden="false" customHeight="false" outlineLevel="0" collapsed="false">
      <c r="A7" s="7" t="s">
        <v>25</v>
      </c>
      <c r="B7" s="7" t="n">
        <v>1987</v>
      </c>
      <c r="C7" s="7" t="n">
        <v>1</v>
      </c>
      <c r="D7" s="8" t="s">
        <v>55</v>
      </c>
      <c r="E7" s="9" t="s">
        <v>56</v>
      </c>
      <c r="F7" s="7" t="s">
        <v>51</v>
      </c>
      <c r="G7" s="7" t="s">
        <v>29</v>
      </c>
      <c r="H7" s="20" t="n">
        <v>1987</v>
      </c>
      <c r="I7" s="21" t="n">
        <v>100</v>
      </c>
      <c r="J7" s="13" t="n">
        <v>0.335</v>
      </c>
      <c r="K7" s="13" t="n">
        <v>0.846</v>
      </c>
      <c r="L7" s="14"/>
      <c r="M7" s="15"/>
      <c r="N7" s="20" t="n">
        <v>1988</v>
      </c>
      <c r="O7" s="21" t="n">
        <v>96</v>
      </c>
      <c r="P7" s="13" t="n">
        <v>0.309</v>
      </c>
      <c r="Q7" s="13" t="n">
        <v>0.789</v>
      </c>
      <c r="R7" s="14"/>
      <c r="S7" s="15"/>
      <c r="T7" s="16" t="n">
        <f aca="false">IF(AND(ISNUMBER(K7),ISNUMBER(Q7)),Q7-K7,"")</f>
        <v>-0.0569999999999999</v>
      </c>
      <c r="U7" s="17" t="str">
        <f aca="false">IF(AND(ISNUMBER(L7),ISNUMBER(R7)),R7-L7,"")</f>
        <v/>
      </c>
      <c r="V7" s="18" t="n">
        <f aca="false">IF(AND(ISNUMBER(I7),ISNUMBER(O7)),O7-I7,"")</f>
        <v>-4</v>
      </c>
      <c r="W7" s="19" t="s">
        <v>57</v>
      </c>
      <c r="X7" s="21"/>
      <c r="Y7" s="12" t="s">
        <v>58</v>
      </c>
    </row>
    <row r="8" customFormat="false" ht="15" hidden="false" customHeight="false" outlineLevel="0" collapsed="false">
      <c r="A8" s="7" t="s">
        <v>25</v>
      </c>
      <c r="B8" s="7" t="n">
        <v>1988</v>
      </c>
      <c r="C8" s="7" t="n">
        <v>1</v>
      </c>
      <c r="D8" s="8" t="s">
        <v>59</v>
      </c>
      <c r="E8" s="9" t="s">
        <v>60</v>
      </c>
      <c r="F8" s="10" t="s">
        <v>44</v>
      </c>
      <c r="G8" s="7" t="s">
        <v>34</v>
      </c>
      <c r="H8" s="20" t="n">
        <v>1988</v>
      </c>
      <c r="I8" s="21" t="n">
        <v>29</v>
      </c>
      <c r="J8" s="13"/>
      <c r="K8" s="13"/>
      <c r="L8" s="14" t="n">
        <v>2.81</v>
      </c>
      <c r="M8" s="15" t="n">
        <v>144.1</v>
      </c>
      <c r="N8" s="20" t="n">
        <v>1989</v>
      </c>
      <c r="O8" s="21" t="n">
        <v>29</v>
      </c>
      <c r="P8" s="13"/>
      <c r="Q8" s="13"/>
      <c r="R8" s="14" t="n">
        <v>5.44</v>
      </c>
      <c r="S8" s="15" t="n">
        <v>120.2</v>
      </c>
      <c r="T8" s="16" t="str">
        <f aca="false">IF(AND(ISNUMBER(K8),ISNUMBER(Q8)),Q8-K8,"")</f>
        <v/>
      </c>
      <c r="U8" s="17" t="n">
        <f aca="false">IF(AND(ISNUMBER(L8),ISNUMBER(R8)),R8-L8,"")</f>
        <v>2.63</v>
      </c>
      <c r="V8" s="18" t="n">
        <f aca="false">IF(AND(ISNUMBER(I8),ISNUMBER(O8)),O8-I8,"")</f>
        <v>0</v>
      </c>
      <c r="W8" s="19" t="s">
        <v>61</v>
      </c>
      <c r="X8" s="12" t="s">
        <v>62</v>
      </c>
      <c r="Y8" s="12" t="s">
        <v>63</v>
      </c>
    </row>
    <row r="9" customFormat="false" ht="29.85" hidden="false" customHeight="false" outlineLevel="0" collapsed="false">
      <c r="A9" s="20" t="s">
        <v>48</v>
      </c>
      <c r="B9" s="20" t="n">
        <v>1988</v>
      </c>
      <c r="C9" s="20" t="n">
        <v>2</v>
      </c>
      <c r="D9" s="21" t="s">
        <v>64</v>
      </c>
      <c r="E9" s="12" t="s">
        <v>65</v>
      </c>
      <c r="F9" s="11" t="s">
        <v>44</v>
      </c>
      <c r="G9" s="20" t="s">
        <v>29</v>
      </c>
      <c r="H9" s="20" t="n">
        <v>1988</v>
      </c>
      <c r="I9" s="21" t="n">
        <v>88</v>
      </c>
      <c r="J9" s="13" t="n">
        <v>0.269</v>
      </c>
      <c r="K9" s="13" t="n">
        <v>0.747</v>
      </c>
      <c r="L9" s="14"/>
      <c r="M9" s="15"/>
      <c r="N9" s="20" t="n">
        <v>1989</v>
      </c>
      <c r="O9" s="21" t="n">
        <v>109</v>
      </c>
      <c r="P9" s="13" t="n">
        <v>0.257</v>
      </c>
      <c r="Q9" s="13" t="n">
        <v>0.762</v>
      </c>
      <c r="R9" s="14"/>
      <c r="S9" s="15"/>
      <c r="T9" s="16" t="n">
        <f aca="false">IF(AND(ISNUMBER(K9),ISNUMBER(Q9)),Q9-K9,"")</f>
        <v>0.015</v>
      </c>
      <c r="U9" s="17" t="str">
        <f aca="false">IF(AND(ISNUMBER(L9),ISNUMBER(R9)),R9-L9,"")</f>
        <v/>
      </c>
      <c r="V9" s="18" t="n">
        <f aca="false">IF(AND(ISNUMBER(I9),ISNUMBER(O9)),O9-I9,"")</f>
        <v>21</v>
      </c>
      <c r="W9" s="19" t="s">
        <v>66</v>
      </c>
      <c r="X9" s="12" t="s">
        <v>62</v>
      </c>
      <c r="Y9" s="12" t="s">
        <v>67</v>
      </c>
    </row>
    <row r="10" customFormat="false" ht="15" hidden="false" customHeight="false" outlineLevel="0" collapsed="false">
      <c r="A10" s="20" t="s">
        <v>48</v>
      </c>
      <c r="B10" s="20" t="n">
        <v>1988</v>
      </c>
      <c r="C10" s="20" t="s">
        <v>68</v>
      </c>
      <c r="D10" s="21" t="s">
        <v>69</v>
      </c>
      <c r="E10" s="12" t="s">
        <v>70</v>
      </c>
      <c r="F10" s="20" t="s">
        <v>39</v>
      </c>
      <c r="G10" s="20" t="s">
        <v>29</v>
      </c>
      <c r="H10" s="20" t="n">
        <v>1988</v>
      </c>
      <c r="I10" s="21" t="n">
        <v>80</v>
      </c>
      <c r="J10" s="13" t="n">
        <v>0.284</v>
      </c>
      <c r="K10" s="13" t="n">
        <v>0.705</v>
      </c>
      <c r="L10" s="14"/>
      <c r="M10" s="15"/>
      <c r="N10" s="20" t="n">
        <v>1989</v>
      </c>
      <c r="O10" s="21" t="n">
        <v>27</v>
      </c>
      <c r="P10" s="13" t="n">
        <v>0.151</v>
      </c>
      <c r="Q10" s="13" t="n">
        <v>0.456</v>
      </c>
      <c r="R10" s="14"/>
      <c r="S10" s="15"/>
      <c r="T10" s="16" t="n">
        <f aca="false">IF(AND(ISNUMBER(K10),ISNUMBER(Q10)),Q10-K10,"")</f>
        <v>-0.249</v>
      </c>
      <c r="U10" s="17" t="str">
        <f aca="false">IF(AND(ISNUMBER(L10),ISNUMBER(R10)),R10-L10,"")</f>
        <v/>
      </c>
      <c r="V10" s="18" t="n">
        <f aca="false">IF(AND(ISNUMBER(I10),ISNUMBER(O10)),O10-I10,"")</f>
        <v>-53</v>
      </c>
      <c r="W10" s="22" t="s">
        <v>71</v>
      </c>
      <c r="X10" s="12" t="s">
        <v>62</v>
      </c>
      <c r="Y10" s="12" t="s">
        <v>72</v>
      </c>
    </row>
    <row r="11" customFormat="false" ht="15" hidden="false" customHeight="false" outlineLevel="0" collapsed="false">
      <c r="A11" s="7" t="s">
        <v>25</v>
      </c>
      <c r="B11" s="7" t="n">
        <v>1989</v>
      </c>
      <c r="C11" s="7" t="n">
        <v>1</v>
      </c>
      <c r="D11" s="8" t="s">
        <v>73</v>
      </c>
      <c r="E11" s="9" t="s">
        <v>74</v>
      </c>
      <c r="F11" s="7" t="s">
        <v>75</v>
      </c>
      <c r="G11" s="7" t="s">
        <v>34</v>
      </c>
      <c r="H11" s="20" t="n">
        <v>1989</v>
      </c>
      <c r="I11" s="21" t="n">
        <v>38</v>
      </c>
      <c r="J11" s="13"/>
      <c r="K11" s="13"/>
      <c r="L11" s="14" t="n">
        <v>2.15</v>
      </c>
      <c r="M11" s="15" t="n">
        <v>242.2</v>
      </c>
      <c r="N11" s="20" t="n">
        <v>1990</v>
      </c>
      <c r="O11" s="21" t="n">
        <v>35</v>
      </c>
      <c r="P11" s="13"/>
      <c r="Q11" s="13"/>
      <c r="R11" s="14" t="n">
        <v>2.63</v>
      </c>
      <c r="S11" s="15" t="n">
        <v>191.2</v>
      </c>
      <c r="T11" s="16" t="str">
        <f aca="false">IF(AND(ISNUMBER(K11),ISNUMBER(Q11)),Q11-K11,"")</f>
        <v/>
      </c>
      <c r="U11" s="17" t="n">
        <f aca="false">IF(AND(ISNUMBER(L11),ISNUMBER(R11)),R11-L11,"")</f>
        <v>0.48</v>
      </c>
      <c r="V11" s="18" t="n">
        <f aca="false">IF(AND(ISNUMBER(I11),ISNUMBER(O11)),O11-I11,"")</f>
        <v>-3</v>
      </c>
      <c r="W11" s="19" t="s">
        <v>76</v>
      </c>
      <c r="X11" s="21"/>
      <c r="Y11" s="12" t="s">
        <v>77</v>
      </c>
    </row>
    <row r="12" customFormat="false" ht="15" hidden="false" customHeight="false" outlineLevel="0" collapsed="false">
      <c r="A12" s="20" t="s">
        <v>48</v>
      </c>
      <c r="B12" s="20" t="n">
        <v>1989</v>
      </c>
      <c r="C12" s="20" t="s">
        <v>68</v>
      </c>
      <c r="D12" s="21" t="s">
        <v>78</v>
      </c>
      <c r="E12" s="12" t="s">
        <v>79</v>
      </c>
      <c r="F12" s="20" t="s">
        <v>80</v>
      </c>
      <c r="G12" s="20" t="s">
        <v>29</v>
      </c>
      <c r="H12" s="20" t="n">
        <v>1989</v>
      </c>
      <c r="I12" s="21" t="n">
        <v>95</v>
      </c>
      <c r="J12" s="13" t="n">
        <v>0.322</v>
      </c>
      <c r="K12" s="13" t="n">
        <v>0.738</v>
      </c>
      <c r="L12" s="14"/>
      <c r="M12" s="15"/>
      <c r="N12" s="20" t="n">
        <v>1990</v>
      </c>
      <c r="O12" s="21" t="n">
        <v>108</v>
      </c>
      <c r="P12" s="13" t="n">
        <v>0.271</v>
      </c>
      <c r="Q12" s="13" t="n">
        <v>0.772</v>
      </c>
      <c r="R12" s="14"/>
      <c r="S12" s="15"/>
      <c r="T12" s="16" t="n">
        <f aca="false">IF(AND(ISNUMBER(K12),ISNUMBER(Q12)),Q12-K12,"")</f>
        <v>0.034</v>
      </c>
      <c r="U12" s="17" t="str">
        <f aca="false">IF(AND(ISNUMBER(L12),ISNUMBER(R12)),R12-L12,"")</f>
        <v/>
      </c>
      <c r="V12" s="18" t="n">
        <f aca="false">IF(AND(ISNUMBER(I12),ISNUMBER(O12)),O12-I12,"")</f>
        <v>13</v>
      </c>
      <c r="W12" s="19" t="s">
        <v>81</v>
      </c>
      <c r="X12" s="12" t="s">
        <v>82</v>
      </c>
      <c r="Y12" s="12" t="s">
        <v>83</v>
      </c>
    </row>
    <row r="13" customFormat="false" ht="15" hidden="false" customHeight="false" outlineLevel="0" collapsed="false">
      <c r="A13" s="20" t="s">
        <v>48</v>
      </c>
      <c r="B13" s="20" t="n">
        <v>1989</v>
      </c>
      <c r="C13" s="20" t="s">
        <v>68</v>
      </c>
      <c r="D13" s="21" t="s">
        <v>84</v>
      </c>
      <c r="E13" s="12" t="s">
        <v>85</v>
      </c>
      <c r="F13" s="20" t="s">
        <v>39</v>
      </c>
      <c r="G13" s="20" t="s">
        <v>34</v>
      </c>
      <c r="H13" s="20" t="n">
        <v>1989</v>
      </c>
      <c r="I13" s="21" t="n">
        <v>36</v>
      </c>
      <c r="J13" s="13"/>
      <c r="K13" s="13"/>
      <c r="L13" s="14" t="n">
        <v>3.23</v>
      </c>
      <c r="M13" s="15" t="n">
        <v>195.1</v>
      </c>
      <c r="N13" s="20" t="n">
        <v>1990</v>
      </c>
      <c r="O13" s="21" t="n">
        <v>44</v>
      </c>
      <c r="P13" s="13"/>
      <c r="Q13" s="13"/>
      <c r="R13" s="14" t="n">
        <v>3.14</v>
      </c>
      <c r="S13" s="15" t="n">
        <v>220.2</v>
      </c>
      <c r="T13" s="16" t="str">
        <f aca="false">IF(AND(ISNUMBER(K13),ISNUMBER(Q13)),Q13-K13,"")</f>
        <v/>
      </c>
      <c r="U13" s="17" t="n">
        <f aca="false">IF(AND(ISNUMBER(L13),ISNUMBER(R13)),R13-L13,"")</f>
        <v>-0.0899999999999999</v>
      </c>
      <c r="V13" s="18" t="n">
        <f aca="false">IF(AND(ISNUMBER(I13),ISNUMBER(O13)),O13-I13,"")</f>
        <v>8</v>
      </c>
      <c r="W13" s="19" t="s">
        <v>81</v>
      </c>
      <c r="X13" s="12" t="s">
        <v>82</v>
      </c>
      <c r="Y13" s="12" t="s">
        <v>86</v>
      </c>
    </row>
    <row r="14" customFormat="false" ht="15" hidden="false" customHeight="false" outlineLevel="0" collapsed="false">
      <c r="A14" s="7" t="s">
        <v>25</v>
      </c>
      <c r="B14" s="7" t="n">
        <v>1990</v>
      </c>
      <c r="C14" s="7" t="n">
        <v>1</v>
      </c>
      <c r="D14" s="8" t="s">
        <v>87</v>
      </c>
      <c r="E14" s="9" t="s">
        <v>88</v>
      </c>
      <c r="F14" s="10" t="s">
        <v>89</v>
      </c>
      <c r="G14" s="7" t="s">
        <v>29</v>
      </c>
      <c r="H14" s="20" t="n">
        <v>1990</v>
      </c>
      <c r="I14" s="21" t="n">
        <v>110</v>
      </c>
      <c r="J14" s="13" t="n">
        <v>0.29</v>
      </c>
      <c r="K14" s="13" t="n">
        <v>0.842</v>
      </c>
      <c r="L14" s="14"/>
      <c r="M14" s="15"/>
      <c r="N14" s="20" t="n">
        <v>1991</v>
      </c>
      <c r="O14" s="21" t="n">
        <v>90</v>
      </c>
      <c r="P14" s="13" t="n">
        <v>0.196</v>
      </c>
      <c r="Q14" s="13" t="n">
        <v>0.597</v>
      </c>
      <c r="R14" s="14"/>
      <c r="S14" s="15"/>
      <c r="T14" s="16" t="n">
        <f aca="false">IF(AND(ISNUMBER(K14),ISNUMBER(Q14)),Q14-K14,"")</f>
        <v>-0.245</v>
      </c>
      <c r="U14" s="17" t="str">
        <f aca="false">IF(AND(ISNUMBER(L14),ISNUMBER(R14)),R14-L14,"")</f>
        <v/>
      </c>
      <c r="V14" s="18" t="n">
        <f aca="false">IF(AND(ISNUMBER(I14),ISNUMBER(O14)),O14-I14,"")</f>
        <v>-20</v>
      </c>
      <c r="W14" s="19" t="s">
        <v>90</v>
      </c>
      <c r="X14" s="12" t="s">
        <v>91</v>
      </c>
      <c r="Y14" s="12" t="s">
        <v>92</v>
      </c>
    </row>
    <row r="15" customFormat="false" ht="15" hidden="false" customHeight="false" outlineLevel="0" collapsed="false">
      <c r="A15" s="20" t="s">
        <v>48</v>
      </c>
      <c r="B15" s="20" t="n">
        <v>1990</v>
      </c>
      <c r="C15" s="20" t="n">
        <v>2</v>
      </c>
      <c r="D15" s="21" t="s">
        <v>93</v>
      </c>
      <c r="E15" s="12" t="s">
        <v>94</v>
      </c>
      <c r="F15" s="20" t="s">
        <v>80</v>
      </c>
      <c r="G15" s="20" t="s">
        <v>34</v>
      </c>
      <c r="H15" s="20" t="n">
        <v>1990</v>
      </c>
      <c r="I15" s="21" t="n">
        <v>22</v>
      </c>
      <c r="J15" s="13"/>
      <c r="K15" s="13"/>
      <c r="L15" s="14" t="n">
        <v>3.5</v>
      </c>
      <c r="M15" s="15" t="n">
        <v>113</v>
      </c>
      <c r="N15" s="20" t="n">
        <v>1991</v>
      </c>
      <c r="O15" s="21" t="n">
        <v>31</v>
      </c>
      <c r="P15" s="13"/>
      <c r="Q15" s="13"/>
      <c r="R15" s="14" t="n">
        <v>4.64</v>
      </c>
      <c r="S15" s="15" t="n">
        <v>126</v>
      </c>
      <c r="T15" s="16" t="str">
        <f aca="false">IF(AND(ISNUMBER(K15),ISNUMBER(Q15)),Q15-K15,"")</f>
        <v/>
      </c>
      <c r="U15" s="17" t="n">
        <f aca="false">IF(AND(ISNUMBER(L15),ISNUMBER(R15)),R15-L15,"")</f>
        <v>1.14</v>
      </c>
      <c r="V15" s="18" t="n">
        <f aca="false">IF(AND(ISNUMBER(I15),ISNUMBER(O15)),O15-I15,"")</f>
        <v>9</v>
      </c>
      <c r="W15" s="19" t="s">
        <v>95</v>
      </c>
      <c r="X15" s="12" t="s">
        <v>91</v>
      </c>
      <c r="Y15" s="12" t="s">
        <v>96</v>
      </c>
    </row>
    <row r="16" customFormat="false" ht="15" hidden="false" customHeight="false" outlineLevel="0" collapsed="false">
      <c r="A16" s="7" t="s">
        <v>25</v>
      </c>
      <c r="B16" s="7" t="n">
        <v>1991</v>
      </c>
      <c r="C16" s="7" t="n">
        <v>1</v>
      </c>
      <c r="D16" s="8" t="s">
        <v>97</v>
      </c>
      <c r="E16" s="9" t="s">
        <v>98</v>
      </c>
      <c r="F16" s="7" t="s">
        <v>99</v>
      </c>
      <c r="G16" s="7" t="s">
        <v>34</v>
      </c>
      <c r="H16" s="20" t="n">
        <v>1991</v>
      </c>
      <c r="I16" s="21" t="n">
        <v>49</v>
      </c>
      <c r="J16" s="13"/>
      <c r="K16" s="13"/>
      <c r="L16" s="14" t="n">
        <v>1.64</v>
      </c>
      <c r="M16" s="15" t="n">
        <v>142.1</v>
      </c>
      <c r="N16" s="20" t="n">
        <v>1992</v>
      </c>
      <c r="O16" s="21" t="n">
        <v>30</v>
      </c>
      <c r="P16" s="13"/>
      <c r="Q16" s="13"/>
      <c r="R16" s="14" t="n">
        <v>3.17</v>
      </c>
      <c r="S16" s="15" t="n">
        <v>54</v>
      </c>
      <c r="T16" s="16" t="str">
        <f aca="false">IF(AND(ISNUMBER(K16),ISNUMBER(Q16)),Q16-K16,"")</f>
        <v/>
      </c>
      <c r="U16" s="17" t="n">
        <f aca="false">IF(AND(ISNUMBER(L16),ISNUMBER(R16)),R16-L16,"")</f>
        <v>1.53</v>
      </c>
      <c r="V16" s="18" t="n">
        <f aca="false">IF(AND(ISNUMBER(I16),ISNUMBER(O16)),O16-I16,"")</f>
        <v>-19</v>
      </c>
      <c r="W16" s="19" t="s">
        <v>100</v>
      </c>
      <c r="X16" s="12" t="s">
        <v>101</v>
      </c>
      <c r="Y16" s="12" t="s">
        <v>102</v>
      </c>
    </row>
    <row r="17" customFormat="false" ht="15" hidden="false" customHeight="false" outlineLevel="0" collapsed="false">
      <c r="A17" s="20" t="s">
        <v>48</v>
      </c>
      <c r="B17" s="20" t="n">
        <v>1991</v>
      </c>
      <c r="C17" s="20" t="n">
        <v>2</v>
      </c>
      <c r="D17" s="21" t="s">
        <v>103</v>
      </c>
      <c r="E17" s="12" t="s">
        <v>104</v>
      </c>
      <c r="F17" s="20" t="s">
        <v>99</v>
      </c>
      <c r="G17" s="20" t="s">
        <v>29</v>
      </c>
      <c r="H17" s="20" t="n">
        <v>1991</v>
      </c>
      <c r="I17" s="21" t="n">
        <v>124</v>
      </c>
      <c r="J17" s="13" t="n">
        <v>0.262</v>
      </c>
      <c r="K17" s="13" t="n">
        <v>0.86</v>
      </c>
      <c r="L17" s="14"/>
      <c r="M17" s="15"/>
      <c r="N17" s="20" t="n">
        <v>1992</v>
      </c>
      <c r="O17" s="21" t="n">
        <v>123</v>
      </c>
      <c r="P17" s="13" t="n">
        <v>0.302</v>
      </c>
      <c r="Q17" s="13" t="n">
        <v>1.082</v>
      </c>
      <c r="R17" s="14"/>
      <c r="S17" s="15"/>
      <c r="T17" s="16" t="n">
        <f aca="false">IF(AND(ISNUMBER(K17),ISNUMBER(Q17)),Q17-K17,"")</f>
        <v>0.222</v>
      </c>
      <c r="U17" s="17" t="str">
        <f aca="false">IF(AND(ISNUMBER(L17),ISNUMBER(R17)),R17-L17,"")</f>
        <v/>
      </c>
      <c r="V17" s="18" t="n">
        <f aca="false">IF(AND(ISNUMBER(I17),ISNUMBER(O17)),O17-I17,"")</f>
        <v>-1</v>
      </c>
      <c r="W17" s="19" t="s">
        <v>105</v>
      </c>
      <c r="X17" s="12" t="s">
        <v>101</v>
      </c>
      <c r="Y17" s="12" t="s">
        <v>106</v>
      </c>
    </row>
    <row r="18" customFormat="false" ht="15" hidden="false" customHeight="false" outlineLevel="0" collapsed="false">
      <c r="A18" s="7" t="s">
        <v>25</v>
      </c>
      <c r="B18" s="7" t="n">
        <v>1992</v>
      </c>
      <c r="C18" s="7" t="n">
        <v>1</v>
      </c>
      <c r="D18" s="8" t="s">
        <v>107</v>
      </c>
      <c r="E18" s="9" t="s">
        <v>108</v>
      </c>
      <c r="F18" s="7" t="s">
        <v>109</v>
      </c>
      <c r="G18" s="7" t="s">
        <v>34</v>
      </c>
      <c r="H18" s="20" t="n">
        <v>1992</v>
      </c>
      <c r="I18" s="21" t="n">
        <v>35</v>
      </c>
      <c r="J18" s="13"/>
      <c r="K18" s="13"/>
      <c r="L18" s="14" t="n">
        <v>2.33</v>
      </c>
      <c r="M18" s="15" t="n">
        <v>204.2</v>
      </c>
      <c r="N18" s="20" t="n">
        <v>1993</v>
      </c>
      <c r="O18" s="21" t="n">
        <v>33</v>
      </c>
      <c r="P18" s="13"/>
      <c r="Q18" s="13"/>
      <c r="R18" s="14" t="n">
        <v>3.41</v>
      </c>
      <c r="S18" s="15" t="n">
        <v>158.1</v>
      </c>
      <c r="T18" s="16" t="str">
        <f aca="false">IF(AND(ISNUMBER(K18),ISNUMBER(Q18)),Q18-K18,"")</f>
        <v/>
      </c>
      <c r="U18" s="17" t="n">
        <f aca="false">IF(AND(ISNUMBER(L18),ISNUMBER(R18)),R18-L18,"")</f>
        <v>1.08</v>
      </c>
      <c r="V18" s="18" t="n">
        <f aca="false">IF(AND(ISNUMBER(I18),ISNUMBER(O18)),O18-I18,"")</f>
        <v>-2</v>
      </c>
      <c r="W18" s="22" t="s">
        <v>110</v>
      </c>
      <c r="X18" s="12" t="s">
        <v>111</v>
      </c>
      <c r="Y18" s="12" t="s">
        <v>112</v>
      </c>
    </row>
    <row r="19" customFormat="false" ht="15" hidden="false" customHeight="false" outlineLevel="0" collapsed="false">
      <c r="A19" s="20" t="s">
        <v>48</v>
      </c>
      <c r="B19" s="20" t="n">
        <v>1992</v>
      </c>
      <c r="C19" s="20" t="n">
        <v>2</v>
      </c>
      <c r="D19" s="21" t="s">
        <v>113</v>
      </c>
      <c r="E19" s="12" t="s">
        <v>114</v>
      </c>
      <c r="F19" s="20" t="s">
        <v>51</v>
      </c>
      <c r="G19" s="20" t="s">
        <v>34</v>
      </c>
      <c r="H19" s="20" t="n">
        <v>1992</v>
      </c>
      <c r="I19" s="21" t="n">
        <v>33</v>
      </c>
      <c r="J19" s="13"/>
      <c r="K19" s="13"/>
      <c r="L19" s="14" t="n">
        <v>2.48</v>
      </c>
      <c r="M19" s="15" t="n">
        <v>195.2</v>
      </c>
      <c r="N19" s="20" t="n">
        <v>1993</v>
      </c>
      <c r="O19" s="21" t="n">
        <v>18</v>
      </c>
      <c r="P19" s="13"/>
      <c r="Q19" s="13"/>
      <c r="R19" s="14" t="n">
        <v>2.24</v>
      </c>
      <c r="S19" s="15" t="n">
        <v>148.1</v>
      </c>
      <c r="T19" s="16" t="str">
        <f aca="false">IF(AND(ISNUMBER(K19),ISNUMBER(Q19)),Q19-K19,"")</f>
        <v/>
      </c>
      <c r="U19" s="17" t="n">
        <f aca="false">IF(AND(ISNUMBER(L19),ISNUMBER(R19)),R19-L19,"")</f>
        <v>-0.24</v>
      </c>
      <c r="V19" s="18" t="n">
        <f aca="false">IF(AND(ISNUMBER(I19),ISNUMBER(O19)),O19-I19,"")</f>
        <v>-15</v>
      </c>
      <c r="W19" s="19" t="s">
        <v>115</v>
      </c>
      <c r="X19" s="12" t="s">
        <v>111</v>
      </c>
      <c r="Y19" s="12" t="s">
        <v>116</v>
      </c>
    </row>
    <row r="20" customFormat="false" ht="15" hidden="false" customHeight="false" outlineLevel="0" collapsed="false">
      <c r="A20" s="7" t="s">
        <v>25</v>
      </c>
      <c r="B20" s="7" t="n">
        <v>1993</v>
      </c>
      <c r="C20" s="7" t="n">
        <v>1</v>
      </c>
      <c r="D20" s="8" t="s">
        <v>117</v>
      </c>
      <c r="E20" s="9" t="s">
        <v>118</v>
      </c>
      <c r="F20" s="7" t="s">
        <v>80</v>
      </c>
      <c r="G20" s="7" t="s">
        <v>29</v>
      </c>
      <c r="H20" s="20" t="n">
        <v>1993</v>
      </c>
      <c r="I20" s="21" t="n">
        <v>106</v>
      </c>
      <c r="J20" s="13" t="n">
        <v>0.341</v>
      </c>
      <c r="K20" s="13" t="n">
        <v>1.035</v>
      </c>
      <c r="L20" s="14"/>
      <c r="M20" s="15"/>
      <c r="N20" s="20" t="n">
        <v>1994</v>
      </c>
      <c r="O20" s="21" t="n">
        <v>123</v>
      </c>
      <c r="P20" s="13" t="n">
        <v>0.3</v>
      </c>
      <c r="Q20" s="13" t="n">
        <v>0.873</v>
      </c>
      <c r="R20" s="14"/>
      <c r="S20" s="15"/>
      <c r="T20" s="16" t="n">
        <f aca="false">IF(AND(ISNUMBER(K20),ISNUMBER(Q20)),Q20-K20,"")</f>
        <v>-0.162</v>
      </c>
      <c r="U20" s="17" t="str">
        <f aca="false">IF(AND(ISNUMBER(L20),ISNUMBER(R20)),R20-L20,"")</f>
        <v/>
      </c>
      <c r="V20" s="18" t="n">
        <f aca="false">IF(AND(ISNUMBER(I20),ISNUMBER(O20)),O20-I20,"")</f>
        <v>17</v>
      </c>
      <c r="W20" s="19" t="s">
        <v>119</v>
      </c>
      <c r="X20" s="12" t="s">
        <v>120</v>
      </c>
      <c r="Y20" s="12" t="s">
        <v>121</v>
      </c>
    </row>
    <row r="21" customFormat="false" ht="15" hidden="false" customHeight="false" outlineLevel="0" collapsed="false">
      <c r="A21" s="20" t="s">
        <v>48</v>
      </c>
      <c r="B21" s="20" t="n">
        <v>1993</v>
      </c>
      <c r="C21" s="20" t="n">
        <v>2</v>
      </c>
      <c r="D21" s="21" t="s">
        <v>122</v>
      </c>
      <c r="E21" s="12" t="s">
        <v>123</v>
      </c>
      <c r="F21" s="20" t="s">
        <v>39</v>
      </c>
      <c r="G21" s="20" t="s">
        <v>29</v>
      </c>
      <c r="H21" s="20" t="n">
        <v>1993</v>
      </c>
      <c r="I21" s="21" t="n">
        <v>126</v>
      </c>
      <c r="J21" s="13" t="n">
        <v>0.28</v>
      </c>
      <c r="K21" s="13" t="n">
        <v>0.762</v>
      </c>
      <c r="L21" s="14"/>
      <c r="M21" s="15"/>
      <c r="N21" s="20" t="n">
        <v>1994</v>
      </c>
      <c r="O21" s="21" t="n">
        <v>124</v>
      </c>
      <c r="P21" s="13" t="n">
        <v>0.393</v>
      </c>
      <c r="Q21" s="13" t="n">
        <v>1.033</v>
      </c>
      <c r="R21" s="14"/>
      <c r="S21" s="15"/>
      <c r="T21" s="16" t="n">
        <f aca="false">IF(AND(ISNUMBER(K21),ISNUMBER(Q21)),Q21-K21,"")</f>
        <v>0.271</v>
      </c>
      <c r="U21" s="17" t="str">
        <f aca="false">IF(AND(ISNUMBER(L21),ISNUMBER(R21)),R21-L21,"")</f>
        <v/>
      </c>
      <c r="V21" s="18" t="n">
        <f aca="false">IF(AND(ISNUMBER(I21),ISNUMBER(O21)),O21-I21,"")</f>
        <v>-2</v>
      </c>
      <c r="W21" s="19" t="s">
        <v>124</v>
      </c>
      <c r="X21" s="12" t="s">
        <v>125</v>
      </c>
      <c r="Y21" s="12" t="s">
        <v>126</v>
      </c>
    </row>
    <row r="22" customFormat="false" ht="15" hidden="false" customHeight="false" outlineLevel="0" collapsed="false">
      <c r="A22" s="7" t="s">
        <v>25</v>
      </c>
      <c r="B22" s="7" t="n">
        <v>1994</v>
      </c>
      <c r="C22" s="7" t="n">
        <v>1</v>
      </c>
      <c r="D22" s="8" t="s">
        <v>127</v>
      </c>
      <c r="E22" s="9" t="s">
        <v>128</v>
      </c>
      <c r="F22" s="10" t="s">
        <v>89</v>
      </c>
      <c r="G22" s="7" t="s">
        <v>29</v>
      </c>
      <c r="H22" s="20" t="n">
        <v>1994</v>
      </c>
      <c r="I22" s="21" t="n">
        <v>126</v>
      </c>
      <c r="J22" s="13" t="n">
        <v>0.305</v>
      </c>
      <c r="K22" s="13" t="n">
        <v>0.831</v>
      </c>
      <c r="L22" s="14"/>
      <c r="M22" s="15"/>
      <c r="N22" s="20" t="n">
        <v>1995</v>
      </c>
      <c r="O22" s="21" t="n">
        <v>64</v>
      </c>
      <c r="P22" s="13" t="n">
        <v>0.305</v>
      </c>
      <c r="Q22" s="13" t="n">
        <v>0.775</v>
      </c>
      <c r="R22" s="14"/>
      <c r="S22" s="15"/>
      <c r="T22" s="16" t="n">
        <f aca="false">IF(AND(ISNUMBER(K22),ISNUMBER(Q22)),Q22-K22,"")</f>
        <v>-0.0559999999999999</v>
      </c>
      <c r="U22" s="17" t="str">
        <f aca="false">IF(AND(ISNUMBER(L22),ISNUMBER(R22)),R22-L22,"")</f>
        <v/>
      </c>
      <c r="V22" s="18" t="n">
        <f aca="false">IF(AND(ISNUMBER(I22),ISNUMBER(O22)),O22-I22,"")</f>
        <v>-62</v>
      </c>
      <c r="W22" s="19" t="s">
        <v>129</v>
      </c>
      <c r="X22" s="12" t="s">
        <v>130</v>
      </c>
      <c r="Y22" s="12" t="s">
        <v>131</v>
      </c>
    </row>
    <row r="23" customFormat="false" ht="27.6" hidden="false" customHeight="false" outlineLevel="0" collapsed="false">
      <c r="A23" s="20" t="s">
        <v>48</v>
      </c>
      <c r="B23" s="20" t="n">
        <v>1994</v>
      </c>
      <c r="C23" s="20" t="n">
        <v>2</v>
      </c>
      <c r="D23" s="21" t="s">
        <v>132</v>
      </c>
      <c r="E23" s="12" t="s">
        <v>133</v>
      </c>
      <c r="F23" s="11" t="s">
        <v>89</v>
      </c>
      <c r="G23" s="20" t="s">
        <v>29</v>
      </c>
      <c r="H23" s="20" t="n">
        <v>1994</v>
      </c>
      <c r="I23" s="21" t="n">
        <v>125</v>
      </c>
      <c r="J23" s="13" t="n">
        <v>0.289</v>
      </c>
      <c r="K23" s="13" t="n">
        <v>0.87</v>
      </c>
      <c r="L23" s="14"/>
      <c r="M23" s="15"/>
      <c r="N23" s="20" t="n">
        <v>1995</v>
      </c>
      <c r="O23" s="21" t="n">
        <v>116</v>
      </c>
      <c r="P23" s="13" t="n">
        <v>0.255</v>
      </c>
      <c r="Q23" s="13" t="n">
        <v>0.787</v>
      </c>
      <c r="R23" s="14"/>
      <c r="S23" s="15"/>
      <c r="T23" s="16" t="n">
        <f aca="false">IF(AND(ISNUMBER(K23),ISNUMBER(Q23)),Q23-K23,"")</f>
        <v>-0.083</v>
      </c>
      <c r="U23" s="17" t="str">
        <f aca="false">IF(AND(ISNUMBER(L23),ISNUMBER(R23)),R23-L23,"")</f>
        <v/>
      </c>
      <c r="V23" s="18" t="n">
        <f aca="false">IF(AND(ISNUMBER(I23),ISNUMBER(O23)),O23-I23,"")</f>
        <v>-9</v>
      </c>
      <c r="W23" s="19" t="s">
        <v>134</v>
      </c>
      <c r="X23" s="12" t="s">
        <v>130</v>
      </c>
      <c r="Y23" s="12" t="s">
        <v>135</v>
      </c>
    </row>
    <row r="24" customFormat="false" ht="15" hidden="false" customHeight="false" outlineLevel="0" collapsed="false">
      <c r="A24" s="20" t="s">
        <v>48</v>
      </c>
      <c r="B24" s="20" t="n">
        <v>1994</v>
      </c>
      <c r="C24" s="20" t="n">
        <v>3</v>
      </c>
      <c r="D24" s="21" t="s">
        <v>136</v>
      </c>
      <c r="E24" s="12" t="s">
        <v>137</v>
      </c>
      <c r="F24" s="11" t="s">
        <v>89</v>
      </c>
      <c r="G24" s="20" t="s">
        <v>29</v>
      </c>
      <c r="H24" s="20" t="n">
        <v>1994</v>
      </c>
      <c r="I24" s="21" t="n">
        <v>126</v>
      </c>
      <c r="J24" s="13" t="n">
        <v>0.318</v>
      </c>
      <c r="K24" s="13" t="n">
        <v>0.791</v>
      </c>
      <c r="L24" s="14"/>
      <c r="M24" s="15"/>
      <c r="N24" s="20" t="n">
        <v>1995</v>
      </c>
      <c r="O24" s="21" t="n">
        <v>126</v>
      </c>
      <c r="P24" s="13" t="n">
        <v>0.306</v>
      </c>
      <c r="Q24" s="13" t="n">
        <v>0.771</v>
      </c>
      <c r="R24" s="14"/>
      <c r="S24" s="15"/>
      <c r="T24" s="16" t="n">
        <f aca="false">IF(AND(ISNUMBER(K24),ISNUMBER(Q24)),Q24-K24,"")</f>
        <v>-0.02</v>
      </c>
      <c r="U24" s="17" t="str">
        <f aca="false">IF(AND(ISNUMBER(L24),ISNUMBER(R24)),R24-L24,"")</f>
        <v/>
      </c>
      <c r="V24" s="18" t="n">
        <f aca="false">IF(AND(ISNUMBER(I24),ISNUMBER(O24)),O24-I24,"")</f>
        <v>0</v>
      </c>
      <c r="W24" s="19" t="s">
        <v>138</v>
      </c>
      <c r="X24" s="12" t="s">
        <v>130</v>
      </c>
      <c r="Y24" s="12" t="s">
        <v>139</v>
      </c>
    </row>
    <row r="25" customFormat="false" ht="29.85" hidden="false" customHeight="false" outlineLevel="0" collapsed="false">
      <c r="A25" s="7" t="s">
        <v>25</v>
      </c>
      <c r="B25" s="7" t="n">
        <v>1995</v>
      </c>
      <c r="C25" s="7" t="n">
        <v>1</v>
      </c>
      <c r="D25" s="8" t="s">
        <v>140</v>
      </c>
      <c r="E25" s="9" t="s">
        <v>141</v>
      </c>
      <c r="F25" s="7" t="s">
        <v>80</v>
      </c>
      <c r="G25" s="7" t="s">
        <v>29</v>
      </c>
      <c r="H25" s="20" t="n">
        <v>1995</v>
      </c>
      <c r="I25" s="21" t="n">
        <v>125</v>
      </c>
      <c r="J25" s="13" t="n">
        <v>0.288</v>
      </c>
      <c r="K25" s="13" t="n">
        <v>0.868</v>
      </c>
      <c r="L25" s="14"/>
      <c r="M25" s="15"/>
      <c r="N25" s="20" t="n">
        <v>1996</v>
      </c>
      <c r="O25" s="21" t="n">
        <v>94</v>
      </c>
      <c r="P25" s="13" t="n">
        <v>0.266</v>
      </c>
      <c r="Q25" s="13" t="n">
        <v>0.787</v>
      </c>
      <c r="R25" s="14"/>
      <c r="S25" s="15"/>
      <c r="T25" s="16" t="n">
        <f aca="false">IF(AND(ISNUMBER(K25),ISNUMBER(Q25)),Q25-K25,"")</f>
        <v>-0.081</v>
      </c>
      <c r="U25" s="17" t="str">
        <f aca="false">IF(AND(ISNUMBER(L25),ISNUMBER(R25)),R25-L25,"")</f>
        <v/>
      </c>
      <c r="V25" s="18" t="n">
        <f aca="false">IF(AND(ISNUMBER(I25),ISNUMBER(O25)),O25-I25,"")</f>
        <v>-31</v>
      </c>
      <c r="W25" s="19" t="s">
        <v>142</v>
      </c>
      <c r="X25" s="12" t="s">
        <v>143</v>
      </c>
      <c r="Y25" s="12" t="s">
        <v>144</v>
      </c>
    </row>
    <row r="26" customFormat="false" ht="15" hidden="false" customHeight="false" outlineLevel="0" collapsed="false">
      <c r="A26" s="20" t="s">
        <v>48</v>
      </c>
      <c r="B26" s="20" t="n">
        <v>1995</v>
      </c>
      <c r="C26" s="20" t="n">
        <v>2</v>
      </c>
      <c r="D26" s="21" t="s">
        <v>145</v>
      </c>
      <c r="E26" s="12" t="s">
        <v>146</v>
      </c>
      <c r="F26" s="20" t="s">
        <v>109</v>
      </c>
      <c r="G26" s="20" t="s">
        <v>29</v>
      </c>
      <c r="H26" s="20" t="n">
        <v>1995</v>
      </c>
      <c r="I26" s="21" t="n">
        <v>126</v>
      </c>
      <c r="J26" s="13" t="n">
        <v>0.275</v>
      </c>
      <c r="K26" s="13" t="n">
        <v>0.819</v>
      </c>
      <c r="L26" s="14"/>
      <c r="M26" s="15"/>
      <c r="N26" s="20" t="n">
        <v>1996</v>
      </c>
      <c r="O26" s="21" t="n">
        <v>120</v>
      </c>
      <c r="P26" s="13" t="n">
        <v>0.276</v>
      </c>
      <c r="Q26" s="13" t="n">
        <v>0.76</v>
      </c>
      <c r="R26" s="14"/>
      <c r="S26" s="15"/>
      <c r="T26" s="16" t="n">
        <f aca="false">IF(AND(ISNUMBER(K26),ISNUMBER(Q26)),Q26-K26,"")</f>
        <v>-0.0589999999999999</v>
      </c>
      <c r="U26" s="17" t="str">
        <f aca="false">IF(AND(ISNUMBER(L26),ISNUMBER(R26)),R26-L26,"")</f>
        <v/>
      </c>
      <c r="V26" s="18" t="n">
        <f aca="false">IF(AND(ISNUMBER(I26),ISNUMBER(O26)),O26-I26,"")</f>
        <v>-6</v>
      </c>
      <c r="W26" s="19" t="s">
        <v>147</v>
      </c>
      <c r="X26" s="12" t="s">
        <v>148</v>
      </c>
      <c r="Y26" s="12" t="s">
        <v>149</v>
      </c>
    </row>
    <row r="27" customFormat="false" ht="15" hidden="false" customHeight="false" outlineLevel="0" collapsed="false">
      <c r="A27" s="7" t="s">
        <v>25</v>
      </c>
      <c r="B27" s="7" t="n">
        <v>1996</v>
      </c>
      <c r="C27" s="7" t="n">
        <v>1</v>
      </c>
      <c r="D27" s="8" t="s">
        <v>150</v>
      </c>
      <c r="E27" s="9" t="s">
        <v>151</v>
      </c>
      <c r="F27" s="7" t="s">
        <v>152</v>
      </c>
      <c r="G27" s="7" t="s">
        <v>29</v>
      </c>
      <c r="H27" s="20" t="n">
        <v>1996</v>
      </c>
      <c r="I27" s="21" t="n">
        <v>126</v>
      </c>
      <c r="J27" s="13" t="n">
        <v>0.295</v>
      </c>
      <c r="K27" s="13" t="n">
        <v>0.929</v>
      </c>
      <c r="L27" s="14"/>
      <c r="M27" s="15"/>
      <c r="N27" s="20" t="n">
        <v>1997</v>
      </c>
      <c r="O27" s="21" t="n">
        <v>96</v>
      </c>
      <c r="P27" s="13" t="n">
        <v>0.326</v>
      </c>
      <c r="Q27" s="13" t="n">
        <v>1.061</v>
      </c>
      <c r="R27" s="14"/>
      <c r="S27" s="15"/>
      <c r="T27" s="16" t="n">
        <f aca="false">IF(AND(ISNUMBER(K27),ISNUMBER(Q27)),Q27-K27,"")</f>
        <v>0.132</v>
      </c>
      <c r="U27" s="17" t="str">
        <f aca="false">IF(AND(ISNUMBER(L27),ISNUMBER(R27)),R27-L27,"")</f>
        <v/>
      </c>
      <c r="V27" s="18" t="n">
        <f aca="false">IF(AND(ISNUMBER(I27),ISNUMBER(O27)),O27-I27,"")</f>
        <v>-30</v>
      </c>
      <c r="W27" s="22" t="s">
        <v>153</v>
      </c>
      <c r="X27" s="12" t="s">
        <v>154</v>
      </c>
      <c r="Y27" s="12" t="s">
        <v>155</v>
      </c>
    </row>
    <row r="28" customFormat="false" ht="15" hidden="false" customHeight="false" outlineLevel="0" collapsed="false">
      <c r="A28" s="7" t="s">
        <v>25</v>
      </c>
      <c r="B28" s="7" t="n">
        <v>1997</v>
      </c>
      <c r="C28" s="7" t="n">
        <v>1</v>
      </c>
      <c r="D28" s="8" t="s">
        <v>156</v>
      </c>
      <c r="E28" s="9" t="s">
        <v>157</v>
      </c>
      <c r="F28" s="10" t="s">
        <v>89</v>
      </c>
      <c r="G28" s="7" t="s">
        <v>29</v>
      </c>
      <c r="H28" s="20" t="n">
        <v>1997</v>
      </c>
      <c r="I28" s="21" t="n">
        <v>126</v>
      </c>
      <c r="J28" s="13" t="n">
        <v>0.305</v>
      </c>
      <c r="K28" s="13" t="n">
        <v>0.81</v>
      </c>
      <c r="L28" s="14"/>
      <c r="M28" s="15"/>
      <c r="N28" s="20" t="n">
        <v>1998</v>
      </c>
      <c r="O28" s="21" t="n">
        <v>124</v>
      </c>
      <c r="P28" s="13" t="n">
        <v>0.279</v>
      </c>
      <c r="Q28" s="13" t="n">
        <v>0.744</v>
      </c>
      <c r="R28" s="14"/>
      <c r="S28" s="15"/>
      <c r="T28" s="16" t="n">
        <f aca="false">IF(AND(ISNUMBER(K28),ISNUMBER(Q28)),Q28-K28,"")</f>
        <v>-0.0660000000000001</v>
      </c>
      <c r="U28" s="17" t="str">
        <f aca="false">IF(AND(ISNUMBER(L28),ISNUMBER(R28)),R28-L28,"")</f>
        <v/>
      </c>
      <c r="V28" s="18" t="n">
        <f aca="false">IF(AND(ISNUMBER(I28),ISNUMBER(O28)),O28-I28,"")</f>
        <v>-2</v>
      </c>
      <c r="W28" s="22" t="s">
        <v>158</v>
      </c>
      <c r="X28" s="12" t="s">
        <v>159</v>
      </c>
      <c r="Y28" s="12" t="s">
        <v>160</v>
      </c>
    </row>
    <row r="29" customFormat="false" ht="29.85" hidden="false" customHeight="false" outlineLevel="0" collapsed="false">
      <c r="A29" s="20" t="s">
        <v>48</v>
      </c>
      <c r="B29" s="20" t="n">
        <v>1997</v>
      </c>
      <c r="C29" s="20" t="s">
        <v>68</v>
      </c>
      <c r="D29" s="21" t="s">
        <v>161</v>
      </c>
      <c r="E29" s="12" t="s">
        <v>162</v>
      </c>
      <c r="F29" s="11" t="s">
        <v>89</v>
      </c>
      <c r="G29" s="20" t="s">
        <v>29</v>
      </c>
      <c r="H29" s="20" t="n">
        <v>1997</v>
      </c>
      <c r="I29" s="21" t="n">
        <v>120</v>
      </c>
      <c r="J29" s="13" t="n">
        <v>0.282</v>
      </c>
      <c r="K29" s="13" t="n">
        <v>0.754</v>
      </c>
      <c r="L29" s="14"/>
      <c r="M29" s="15"/>
      <c r="N29" s="20" t="n">
        <v>1998</v>
      </c>
      <c r="O29" s="21" t="n">
        <v>103</v>
      </c>
      <c r="P29" s="13" t="n">
        <v>0.282</v>
      </c>
      <c r="Q29" s="13" t="n">
        <v>0.758</v>
      </c>
      <c r="R29" s="14"/>
      <c r="S29" s="15"/>
      <c r="T29" s="16" t="n">
        <f aca="false">IF(AND(ISNUMBER(K29),ISNUMBER(Q29)),Q29-K29,"")</f>
        <v>0.004</v>
      </c>
      <c r="U29" s="17" t="str">
        <f aca="false">IF(AND(ISNUMBER(L29),ISNUMBER(R29)),R29-L29,"")</f>
        <v/>
      </c>
      <c r="V29" s="18" t="n">
        <f aca="false">IF(AND(ISNUMBER(I29),ISNUMBER(O29)),O29-I29,"")</f>
        <v>-17</v>
      </c>
      <c r="W29" s="22" t="s">
        <v>163</v>
      </c>
      <c r="X29" s="12" t="s">
        <v>159</v>
      </c>
      <c r="Y29" s="12" t="s">
        <v>164</v>
      </c>
    </row>
    <row r="30" customFormat="false" ht="15" hidden="false" customHeight="false" outlineLevel="0" collapsed="false">
      <c r="A30" s="20" t="s">
        <v>48</v>
      </c>
      <c r="B30" s="20" t="n">
        <v>1997</v>
      </c>
      <c r="C30" s="20" t="s">
        <v>68</v>
      </c>
      <c r="D30" s="21" t="s">
        <v>165</v>
      </c>
      <c r="E30" s="12" t="s">
        <v>166</v>
      </c>
      <c r="F30" s="11" t="s">
        <v>89</v>
      </c>
      <c r="G30" s="20" t="s">
        <v>34</v>
      </c>
      <c r="H30" s="20" t="n">
        <v>1997</v>
      </c>
      <c r="I30" s="21" t="n">
        <v>22</v>
      </c>
      <c r="J30" s="13"/>
      <c r="K30" s="13"/>
      <c r="L30" s="14" t="n">
        <v>3.52</v>
      </c>
      <c r="M30" s="15" t="n">
        <v>135.2</v>
      </c>
      <c r="N30" s="20" t="n">
        <v>1998</v>
      </c>
      <c r="O30" s="21" t="n">
        <v>15</v>
      </c>
      <c r="P30" s="13"/>
      <c r="Q30" s="13"/>
      <c r="R30" s="14" t="n">
        <v>6.94</v>
      </c>
      <c r="S30" s="15" t="n">
        <v>59.2</v>
      </c>
      <c r="T30" s="16" t="str">
        <f aca="false">IF(AND(ISNUMBER(K30),ISNUMBER(Q30)),Q30-K30,"")</f>
        <v/>
      </c>
      <c r="U30" s="17" t="n">
        <f aca="false">IF(AND(ISNUMBER(L30),ISNUMBER(R30)),R30-L30,"")</f>
        <v>3.42</v>
      </c>
      <c r="V30" s="18" t="n">
        <f aca="false">IF(AND(ISNUMBER(I30),ISNUMBER(O30)),O30-I30,"")</f>
        <v>-7</v>
      </c>
      <c r="W30" s="22" t="s">
        <v>167</v>
      </c>
      <c r="X30" s="12" t="s">
        <v>159</v>
      </c>
      <c r="Y30" s="12" t="s">
        <v>168</v>
      </c>
    </row>
    <row r="31" customFormat="false" ht="15" hidden="false" customHeight="false" outlineLevel="0" collapsed="false">
      <c r="A31" s="7" t="s">
        <v>25</v>
      </c>
      <c r="B31" s="7" t="n">
        <v>1998</v>
      </c>
      <c r="C31" s="7" t="n">
        <v>1</v>
      </c>
      <c r="D31" s="8" t="s">
        <v>169</v>
      </c>
      <c r="E31" s="9" t="s">
        <v>170</v>
      </c>
      <c r="F31" s="7" t="s">
        <v>152</v>
      </c>
      <c r="G31" s="7" t="s">
        <v>34</v>
      </c>
      <c r="H31" s="20" t="n">
        <v>1998</v>
      </c>
      <c r="I31" s="21" t="n">
        <v>32</v>
      </c>
      <c r="J31" s="13"/>
      <c r="K31" s="13"/>
      <c r="L31" s="14" t="n">
        <v>2.76</v>
      </c>
      <c r="M31" s="15" t="n">
        <v>160</v>
      </c>
      <c r="N31" s="20" t="n">
        <v>1999</v>
      </c>
      <c r="O31" s="21" t="n">
        <v>40</v>
      </c>
      <c r="P31" s="13"/>
      <c r="Q31" s="13"/>
      <c r="R31" s="14" t="n">
        <v>4.14</v>
      </c>
      <c r="S31" s="15" t="n">
        <v>184.2</v>
      </c>
      <c r="T31" s="16" t="str">
        <f aca="false">IF(AND(ISNUMBER(K31),ISNUMBER(Q31)),Q31-K31,"")</f>
        <v/>
      </c>
      <c r="U31" s="17" t="n">
        <f aca="false">IF(AND(ISNUMBER(L31),ISNUMBER(R31)),R31-L31,"")</f>
        <v>1.38</v>
      </c>
      <c r="V31" s="18" t="n">
        <f aca="false">IF(AND(ISNUMBER(I31),ISNUMBER(O31)),O31-I31,"")</f>
        <v>8</v>
      </c>
      <c r="W31" s="19" t="s">
        <v>171</v>
      </c>
      <c r="X31" s="21"/>
      <c r="Y31" s="12" t="s">
        <v>172</v>
      </c>
    </row>
    <row r="32" customFormat="false" ht="29.85" hidden="false" customHeight="false" outlineLevel="0" collapsed="false">
      <c r="A32" s="7" t="s">
        <v>25</v>
      </c>
      <c r="B32" s="7" t="n">
        <v>1999</v>
      </c>
      <c r="C32" s="7" t="n">
        <v>1</v>
      </c>
      <c r="D32" s="8" t="s">
        <v>173</v>
      </c>
      <c r="E32" s="9" t="s">
        <v>174</v>
      </c>
      <c r="F32" s="7" t="s">
        <v>175</v>
      </c>
      <c r="G32" s="7" t="s">
        <v>29</v>
      </c>
      <c r="H32" s="20" t="n">
        <v>1999</v>
      </c>
      <c r="I32" s="21" t="n">
        <v>111</v>
      </c>
      <c r="J32" s="13" t="n">
        <v>0.258</v>
      </c>
      <c r="K32" s="13" t="n">
        <v>0.743</v>
      </c>
      <c r="L32" s="14"/>
      <c r="M32" s="15"/>
      <c r="N32" s="20" t="n">
        <v>2000</v>
      </c>
      <c r="O32" s="21" t="n">
        <v>127</v>
      </c>
      <c r="P32" s="13" t="n">
        <v>0.29</v>
      </c>
      <c r="Q32" s="13" t="n">
        <v>0.737</v>
      </c>
      <c r="R32" s="14"/>
      <c r="S32" s="15"/>
      <c r="T32" s="16" t="n">
        <f aca="false">IF(AND(ISNUMBER(K32),ISNUMBER(Q32)),Q32-K32,"")</f>
        <v>-0.00600000000000001</v>
      </c>
      <c r="U32" s="17" t="str">
        <f aca="false">IF(AND(ISNUMBER(L32),ISNUMBER(R32)),R32-L32,"")</f>
        <v/>
      </c>
      <c r="V32" s="18" t="n">
        <f aca="false">IF(AND(ISNUMBER(I32),ISNUMBER(O32)),O32-I32,"")</f>
        <v>16</v>
      </c>
      <c r="W32" s="22" t="s">
        <v>176</v>
      </c>
      <c r="X32" s="12" t="s">
        <v>177</v>
      </c>
      <c r="Y32" s="12" t="s">
        <v>178</v>
      </c>
    </row>
    <row r="33" customFormat="false" ht="29.85" hidden="false" customHeight="false" outlineLevel="0" collapsed="false">
      <c r="A33" s="20" t="s">
        <v>48</v>
      </c>
      <c r="B33" s="20" t="n">
        <v>1999</v>
      </c>
      <c r="C33" s="20" t="n">
        <v>2</v>
      </c>
      <c r="D33" s="21" t="s">
        <v>179</v>
      </c>
      <c r="E33" s="12" t="s">
        <v>180</v>
      </c>
      <c r="F33" s="20" t="s">
        <v>39</v>
      </c>
      <c r="G33" s="20" t="s">
        <v>29</v>
      </c>
      <c r="H33" s="20" t="n">
        <v>1999</v>
      </c>
      <c r="I33" s="21" t="n">
        <v>108</v>
      </c>
      <c r="J33" s="13" t="n">
        <v>0.292</v>
      </c>
      <c r="K33" s="13" t="n">
        <v>0.756</v>
      </c>
      <c r="L33" s="14"/>
      <c r="M33" s="15"/>
      <c r="N33" s="20" t="n">
        <v>2000</v>
      </c>
      <c r="O33" s="21" t="n">
        <v>119</v>
      </c>
      <c r="P33" s="13" t="n">
        <v>0.26</v>
      </c>
      <c r="Q33" s="13" t="n">
        <v>0.628</v>
      </c>
      <c r="R33" s="14"/>
      <c r="S33" s="15"/>
      <c r="T33" s="16" t="n">
        <f aca="false">IF(AND(ISNUMBER(K33),ISNUMBER(Q33)),Q33-K33,"")</f>
        <v>-0.128</v>
      </c>
      <c r="U33" s="17" t="str">
        <f aca="false">IF(AND(ISNUMBER(L33),ISNUMBER(R33)),R33-L33,"")</f>
        <v/>
      </c>
      <c r="V33" s="18" t="n">
        <f aca="false">IF(AND(ISNUMBER(I33),ISNUMBER(O33)),O33-I33,"")</f>
        <v>11</v>
      </c>
      <c r="W33" s="19" t="s">
        <v>181</v>
      </c>
      <c r="X33" s="12" t="s">
        <v>182</v>
      </c>
      <c r="Y33" s="12" t="s">
        <v>183</v>
      </c>
    </row>
    <row r="34" customFormat="false" ht="29.85" hidden="false" customHeight="false" outlineLevel="0" collapsed="false">
      <c r="A34" s="7" t="s">
        <v>25</v>
      </c>
      <c r="B34" s="7" t="n">
        <v>2000</v>
      </c>
      <c r="C34" s="7" t="n">
        <v>1</v>
      </c>
      <c r="D34" s="8" t="s">
        <v>184</v>
      </c>
      <c r="E34" s="9" t="s">
        <v>185</v>
      </c>
      <c r="F34" s="10" t="s">
        <v>186</v>
      </c>
      <c r="G34" s="7" t="s">
        <v>34</v>
      </c>
      <c r="H34" s="20" t="n">
        <v>2000</v>
      </c>
      <c r="I34" s="21" t="n">
        <v>42</v>
      </c>
      <c r="J34" s="13"/>
      <c r="K34" s="13"/>
      <c r="L34" s="14" t="n">
        <v>4.51</v>
      </c>
      <c r="M34" s="15" t="n">
        <v>139.2</v>
      </c>
      <c r="N34" s="20" t="n">
        <v>2001</v>
      </c>
      <c r="O34" s="21" t="n">
        <v>35</v>
      </c>
      <c r="P34" s="13"/>
      <c r="Q34" s="13"/>
      <c r="R34" s="14" t="n">
        <v>3.55</v>
      </c>
      <c r="S34" s="15" t="n">
        <v>220.2</v>
      </c>
      <c r="T34" s="16" t="str">
        <f aca="false">IF(AND(ISNUMBER(K34),ISNUMBER(Q34)),Q34-K34,"")</f>
        <v/>
      </c>
      <c r="U34" s="17" t="n">
        <f aca="false">IF(AND(ISNUMBER(L34),ISNUMBER(R34)),R34-L34,"")</f>
        <v>-0.96</v>
      </c>
      <c r="V34" s="18" t="n">
        <f aca="false">IF(AND(ISNUMBER(I34),ISNUMBER(O34)),O34-I34,"")</f>
        <v>-7</v>
      </c>
      <c r="W34" s="22" t="s">
        <v>187</v>
      </c>
      <c r="X34" s="21"/>
      <c r="Y34" s="12" t="s">
        <v>188</v>
      </c>
    </row>
    <row r="35" customFormat="false" ht="15" hidden="false" customHeight="false" outlineLevel="0" collapsed="false">
      <c r="A35" s="20" t="s">
        <v>48</v>
      </c>
      <c r="B35" s="20" t="n">
        <v>2000</v>
      </c>
      <c r="C35" s="20" t="s">
        <v>68</v>
      </c>
      <c r="D35" s="21" t="s">
        <v>189</v>
      </c>
      <c r="E35" s="12" t="s">
        <v>190</v>
      </c>
      <c r="F35" s="20" t="s">
        <v>191</v>
      </c>
      <c r="G35" s="20" t="s">
        <v>34</v>
      </c>
      <c r="H35" s="20" t="n">
        <v>2000</v>
      </c>
      <c r="I35" s="21" t="n">
        <v>29</v>
      </c>
      <c r="J35" s="13"/>
      <c r="K35" s="13"/>
      <c r="L35" s="14" t="n">
        <v>5.05</v>
      </c>
      <c r="M35" s="15" t="n">
        <v>169.1</v>
      </c>
      <c r="N35" s="20" t="n">
        <v>2001</v>
      </c>
      <c r="O35" s="21" t="n">
        <v>40</v>
      </c>
      <c r="P35" s="13"/>
      <c r="Q35" s="13"/>
      <c r="R35" s="14" t="n">
        <v>4.24</v>
      </c>
      <c r="S35" s="15" t="n">
        <v>136</v>
      </c>
      <c r="T35" s="16" t="str">
        <f aca="false">IF(AND(ISNUMBER(K35),ISNUMBER(Q35)),Q35-K35,"")</f>
        <v/>
      </c>
      <c r="U35" s="17" t="n">
        <f aca="false">IF(AND(ISNUMBER(L35),ISNUMBER(R35)),R35-L35,"")</f>
        <v>-0.81</v>
      </c>
      <c r="V35" s="18" t="n">
        <f aca="false">IF(AND(ISNUMBER(I35),ISNUMBER(O35)),O35-I35,"")</f>
        <v>11</v>
      </c>
      <c r="W35" s="22" t="s">
        <v>192</v>
      </c>
      <c r="X35" s="12" t="s">
        <v>193</v>
      </c>
      <c r="Y35" s="12" t="s">
        <v>194</v>
      </c>
    </row>
    <row r="36" customFormat="false" ht="15" hidden="false" customHeight="false" outlineLevel="0" collapsed="false">
      <c r="A36" s="7" t="s">
        <v>25</v>
      </c>
      <c r="B36" s="7" t="n">
        <v>2001</v>
      </c>
      <c r="C36" s="7" t="n">
        <v>1</v>
      </c>
      <c r="D36" s="8" t="s">
        <v>195</v>
      </c>
      <c r="E36" s="9" t="s">
        <v>196</v>
      </c>
      <c r="F36" s="7" t="s">
        <v>191</v>
      </c>
      <c r="G36" s="7" t="s">
        <v>29</v>
      </c>
      <c r="H36" s="20" t="n">
        <v>2001</v>
      </c>
      <c r="I36" s="21" t="n">
        <v>88</v>
      </c>
      <c r="J36" s="13" t="n">
        <v>0.335</v>
      </c>
      <c r="K36" s="13" t="n">
        <v>1.085</v>
      </c>
      <c r="L36" s="14"/>
      <c r="M36" s="15"/>
      <c r="N36" s="20" t="n">
        <v>2002</v>
      </c>
      <c r="O36" s="21" t="n">
        <v>105</v>
      </c>
      <c r="P36" s="13" t="n">
        <v>0.255</v>
      </c>
      <c r="Q36" s="13" t="n">
        <v>0.709</v>
      </c>
      <c r="R36" s="14"/>
      <c r="S36" s="15"/>
      <c r="T36" s="16" t="n">
        <f aca="false">IF(AND(ISNUMBER(K36),ISNUMBER(Q36)),Q36-K36,"")</f>
        <v>-0.376</v>
      </c>
      <c r="U36" s="17" t="str">
        <f aca="false">IF(AND(ISNUMBER(L36),ISNUMBER(R36)),R36-L36,"")</f>
        <v/>
      </c>
      <c r="V36" s="18" t="n">
        <f aca="false">IF(AND(ISNUMBER(I36),ISNUMBER(O36)),O36-I36,"")</f>
        <v>17</v>
      </c>
      <c r="W36" s="22" t="s">
        <v>197</v>
      </c>
      <c r="X36" s="12" t="s">
        <v>198</v>
      </c>
      <c r="Y36" s="12" t="s">
        <v>199</v>
      </c>
    </row>
    <row r="37" customFormat="false" ht="15" hidden="false" customHeight="false" outlineLevel="0" collapsed="false">
      <c r="A37" s="20" t="s">
        <v>48</v>
      </c>
      <c r="B37" s="20" t="n">
        <v>2001</v>
      </c>
      <c r="C37" s="20" t="n">
        <v>2</v>
      </c>
      <c r="D37" s="21" t="s">
        <v>200</v>
      </c>
      <c r="E37" s="12" t="s">
        <v>201</v>
      </c>
      <c r="F37" s="20" t="s">
        <v>80</v>
      </c>
      <c r="G37" s="20" t="s">
        <v>29</v>
      </c>
      <c r="H37" s="20" t="n">
        <v>2001</v>
      </c>
      <c r="I37" s="21" t="n">
        <v>130</v>
      </c>
      <c r="J37" s="13" t="n">
        <v>0.279</v>
      </c>
      <c r="K37" s="13" t="n">
        <v>0.829</v>
      </c>
      <c r="L37" s="14"/>
      <c r="M37" s="15"/>
      <c r="N37" s="20" t="n">
        <v>2002</v>
      </c>
      <c r="O37" s="21" t="n">
        <v>133</v>
      </c>
      <c r="P37" s="13" t="n">
        <v>0.272</v>
      </c>
      <c r="Q37" s="13" t="n">
        <v>0.742</v>
      </c>
      <c r="R37" s="14"/>
      <c r="S37" s="15"/>
      <c r="T37" s="16" t="n">
        <f aca="false">IF(AND(ISNUMBER(K37),ISNUMBER(Q37)),Q37-K37,"")</f>
        <v>-0.087</v>
      </c>
      <c r="U37" s="17" t="str">
        <f aca="false">IF(AND(ISNUMBER(L37),ISNUMBER(R37)),R37-L37,"")</f>
        <v/>
      </c>
      <c r="V37" s="18" t="n">
        <f aca="false">IF(AND(ISNUMBER(I37),ISNUMBER(O37)),O37-I37,"")</f>
        <v>3</v>
      </c>
      <c r="W37" s="22" t="s">
        <v>202</v>
      </c>
      <c r="X37" s="12" t="s">
        <v>203</v>
      </c>
      <c r="Y37" s="12" t="s">
        <v>204</v>
      </c>
    </row>
    <row r="38" customFormat="false" ht="15" hidden="false" customHeight="false" outlineLevel="0" collapsed="false">
      <c r="A38" s="7" t="s">
        <v>25</v>
      </c>
      <c r="B38" s="7" t="n">
        <v>2002</v>
      </c>
      <c r="C38" s="7" t="n">
        <v>1</v>
      </c>
      <c r="D38" s="8" t="s">
        <v>205</v>
      </c>
      <c r="E38" s="9" t="s">
        <v>206</v>
      </c>
      <c r="F38" s="7" t="s">
        <v>152</v>
      </c>
      <c r="G38" s="7" t="s">
        <v>34</v>
      </c>
      <c r="H38" s="20" t="n">
        <v>2002</v>
      </c>
      <c r="I38" s="21" t="n">
        <v>64</v>
      </c>
      <c r="J38" s="13"/>
      <c r="K38" s="13"/>
      <c r="L38" s="14" t="n">
        <v>1.9</v>
      </c>
      <c r="M38" s="15" t="n">
        <v>109</v>
      </c>
      <c r="N38" s="20" t="n">
        <v>2003</v>
      </c>
      <c r="O38" s="21" t="n">
        <v>47</v>
      </c>
      <c r="P38" s="13"/>
      <c r="Q38" s="13"/>
      <c r="R38" s="14" t="n">
        <v>3.52</v>
      </c>
      <c r="S38" s="15" t="n">
        <v>53.2</v>
      </c>
      <c r="T38" s="16" t="str">
        <f aca="false">IF(AND(ISNUMBER(K38),ISNUMBER(Q38)),Q38-K38,"")</f>
        <v/>
      </c>
      <c r="U38" s="17" t="n">
        <f aca="false">IF(AND(ISNUMBER(L38),ISNUMBER(R38)),R38-L38,"")</f>
        <v>1.62</v>
      </c>
      <c r="V38" s="18" t="n">
        <f aca="false">IF(AND(ISNUMBER(I38),ISNUMBER(O38)),O38-I38,"")</f>
        <v>-17</v>
      </c>
      <c r="W38" s="19" t="s">
        <v>207</v>
      </c>
      <c r="X38" s="12" t="s">
        <v>208</v>
      </c>
      <c r="Y38" s="12" t="s">
        <v>209</v>
      </c>
    </row>
    <row r="39" customFormat="false" ht="15" hidden="false" customHeight="false" outlineLevel="0" collapsed="false">
      <c r="A39" s="20" t="s">
        <v>48</v>
      </c>
      <c r="B39" s="20" t="n">
        <v>2002</v>
      </c>
      <c r="C39" s="20" t="n">
        <v>2</v>
      </c>
      <c r="D39" s="21" t="s">
        <v>210</v>
      </c>
      <c r="E39" s="12" t="s">
        <v>211</v>
      </c>
      <c r="F39" s="11" t="s">
        <v>212</v>
      </c>
      <c r="G39" s="20" t="s">
        <v>34</v>
      </c>
      <c r="H39" s="20" t="n">
        <v>2002</v>
      </c>
      <c r="I39" s="21" t="n">
        <v>33</v>
      </c>
      <c r="J39" s="13"/>
      <c r="K39" s="13"/>
      <c r="L39" s="14" t="n">
        <v>4.07</v>
      </c>
      <c r="M39" s="15" t="n">
        <v>188</v>
      </c>
      <c r="N39" s="20" t="n">
        <v>2003</v>
      </c>
      <c r="O39" s="21" t="n">
        <v>24</v>
      </c>
      <c r="P39" s="13"/>
      <c r="Q39" s="13"/>
      <c r="R39" s="14" t="n">
        <v>3.45</v>
      </c>
      <c r="S39" s="15" t="n">
        <v>169.1</v>
      </c>
      <c r="T39" s="16" t="str">
        <f aca="false">IF(AND(ISNUMBER(K39),ISNUMBER(Q39)),Q39-K39,"")</f>
        <v/>
      </c>
      <c r="U39" s="17" t="n">
        <f aca="false">IF(AND(ISNUMBER(L39),ISNUMBER(R39)),R39-L39,"")</f>
        <v>-0.62</v>
      </c>
      <c r="V39" s="18" t="n">
        <f aca="false">IF(AND(ISNUMBER(I39),ISNUMBER(O39)),O39-I39,"")</f>
        <v>-9</v>
      </c>
      <c r="W39" s="19" t="s">
        <v>213</v>
      </c>
      <c r="X39" s="12" t="s">
        <v>208</v>
      </c>
      <c r="Y39" s="12" t="s">
        <v>214</v>
      </c>
    </row>
    <row r="40" customFormat="false" ht="15" hidden="false" customHeight="false" outlineLevel="0" collapsed="false">
      <c r="A40" s="20" t="s">
        <v>48</v>
      </c>
      <c r="B40" s="20" t="n">
        <v>2002</v>
      </c>
      <c r="C40" s="20" t="n">
        <v>3</v>
      </c>
      <c r="D40" s="21" t="s">
        <v>215</v>
      </c>
      <c r="E40" s="12" t="s">
        <v>216</v>
      </c>
      <c r="F40" s="11" t="s">
        <v>89</v>
      </c>
      <c r="G40" s="20" t="s">
        <v>29</v>
      </c>
      <c r="H40" s="20" t="n">
        <v>2002</v>
      </c>
      <c r="I40" s="21" t="n">
        <v>112</v>
      </c>
      <c r="J40" s="13" t="n">
        <v>0.288</v>
      </c>
      <c r="K40" s="13" t="n">
        <v>0.826</v>
      </c>
      <c r="L40" s="14"/>
      <c r="M40" s="15"/>
      <c r="N40" s="20" t="n">
        <v>2003</v>
      </c>
      <c r="O40" s="21" t="n">
        <v>133</v>
      </c>
      <c r="P40" s="13" t="n">
        <v>0.257</v>
      </c>
      <c r="Q40" s="13" t="n">
        <v>0.712</v>
      </c>
      <c r="R40" s="14"/>
      <c r="S40" s="15"/>
      <c r="T40" s="16" t="n">
        <f aca="false">IF(AND(ISNUMBER(K40),ISNUMBER(Q40)),Q40-K40,"")</f>
        <v>-0.114</v>
      </c>
      <c r="U40" s="17" t="str">
        <f aca="false">IF(AND(ISNUMBER(L40),ISNUMBER(R40)),R40-L40,"")</f>
        <v/>
      </c>
      <c r="V40" s="18" t="n">
        <f aca="false">IF(AND(ISNUMBER(I40),ISNUMBER(O40)),O40-I40,"")</f>
        <v>21</v>
      </c>
      <c r="W40" s="19" t="s">
        <v>217</v>
      </c>
      <c r="X40" s="12" t="s">
        <v>208</v>
      </c>
      <c r="Y40" s="12" t="s">
        <v>218</v>
      </c>
    </row>
    <row r="41" customFormat="false" ht="29.85" hidden="false" customHeight="false" outlineLevel="0" collapsed="false">
      <c r="A41" s="7" t="s">
        <v>25</v>
      </c>
      <c r="B41" s="7" t="n">
        <v>2003</v>
      </c>
      <c r="C41" s="7" t="n">
        <v>1</v>
      </c>
      <c r="D41" s="8" t="s">
        <v>219</v>
      </c>
      <c r="E41" s="9" t="s">
        <v>220</v>
      </c>
      <c r="F41" s="7" t="s">
        <v>152</v>
      </c>
      <c r="G41" s="7" t="s">
        <v>34</v>
      </c>
      <c r="H41" s="20" t="n">
        <v>2003</v>
      </c>
      <c r="I41" s="21" t="n">
        <v>27</v>
      </c>
      <c r="J41" s="13"/>
      <c r="K41" s="13"/>
      <c r="L41" s="14" t="n">
        <v>5.35</v>
      </c>
      <c r="M41" s="15" t="n">
        <v>77.1</v>
      </c>
      <c r="N41" s="20" t="n">
        <v>2004</v>
      </c>
      <c r="O41" s="21" t="n">
        <v>3</v>
      </c>
      <c r="P41" s="13"/>
      <c r="Q41" s="13"/>
      <c r="R41" s="14" t="n">
        <v>11.12</v>
      </c>
      <c r="S41" s="15" t="n">
        <v>5.2</v>
      </c>
      <c r="T41" s="16" t="str">
        <f aca="false">IF(AND(ISNUMBER(K41),ISNUMBER(Q41)),Q41-K41,"")</f>
        <v/>
      </c>
      <c r="U41" s="17" t="n">
        <f aca="false">IF(AND(ISNUMBER(L41),ISNUMBER(R41)),R41-L41,"")</f>
        <v>5.77</v>
      </c>
      <c r="V41" s="18" t="n">
        <f aca="false">IF(AND(ISNUMBER(I41),ISNUMBER(O41)),O41-I41,"")</f>
        <v>-24</v>
      </c>
      <c r="W41" s="22" t="s">
        <v>221</v>
      </c>
      <c r="X41" s="12" t="s">
        <v>222</v>
      </c>
      <c r="Y41" s="12" t="s">
        <v>223</v>
      </c>
    </row>
    <row r="42" customFormat="false" ht="15" hidden="false" customHeight="false" outlineLevel="0" collapsed="false">
      <c r="A42" s="20" t="s">
        <v>48</v>
      </c>
      <c r="B42" s="20" t="n">
        <v>2003</v>
      </c>
      <c r="C42" s="20" t="n">
        <v>2</v>
      </c>
      <c r="D42" s="21" t="s">
        <v>224</v>
      </c>
      <c r="E42" s="12" t="s">
        <v>225</v>
      </c>
      <c r="F42" s="20" t="s">
        <v>152</v>
      </c>
      <c r="G42" s="20" t="s">
        <v>29</v>
      </c>
      <c r="H42" s="20" t="n">
        <v>2003</v>
      </c>
      <c r="I42" s="21" t="n">
        <v>101</v>
      </c>
      <c r="J42" s="13" t="n">
        <v>0.278</v>
      </c>
      <c r="K42" s="13" t="n">
        <v>0.737</v>
      </c>
      <c r="L42" s="14"/>
      <c r="M42" s="15"/>
      <c r="N42" s="20" t="n">
        <v>2004</v>
      </c>
      <c r="O42" s="21" t="n">
        <v>41</v>
      </c>
      <c r="P42" s="13" t="n">
        <v>0.211</v>
      </c>
      <c r="Q42" s="13" t="n">
        <v>0.63</v>
      </c>
      <c r="R42" s="14"/>
      <c r="S42" s="15"/>
      <c r="T42" s="16" t="n">
        <f aca="false">IF(AND(ISNUMBER(K42),ISNUMBER(Q42)),Q42-K42,"")</f>
        <v>-0.107</v>
      </c>
      <c r="U42" s="17" t="str">
        <f aca="false">IF(AND(ISNUMBER(L42),ISNUMBER(R42)),R42-L42,"")</f>
        <v/>
      </c>
      <c r="V42" s="18" t="n">
        <f aca="false">IF(AND(ISNUMBER(I42),ISNUMBER(O42)),O42-I42,"")</f>
        <v>-60</v>
      </c>
      <c r="W42" s="22" t="s">
        <v>226</v>
      </c>
      <c r="X42" s="12" t="s">
        <v>227</v>
      </c>
      <c r="Y42" s="12" t="s">
        <v>228</v>
      </c>
    </row>
    <row r="43" customFormat="false" ht="15" hidden="false" customHeight="false" outlineLevel="0" collapsed="false">
      <c r="A43" s="7" t="s">
        <v>25</v>
      </c>
      <c r="B43" s="7" t="n">
        <v>2004</v>
      </c>
      <c r="C43" s="7" t="n">
        <v>1</v>
      </c>
      <c r="D43" s="8" t="s">
        <v>229</v>
      </c>
      <c r="E43" s="9" t="s">
        <v>230</v>
      </c>
      <c r="F43" s="7" t="s">
        <v>152</v>
      </c>
      <c r="G43" s="7" t="s">
        <v>34</v>
      </c>
      <c r="H43" s="20" t="n">
        <v>2004</v>
      </c>
      <c r="I43" s="21" t="n">
        <v>30</v>
      </c>
      <c r="J43" s="13"/>
      <c r="K43" s="13"/>
      <c r="L43" s="14" t="n">
        <v>3.99</v>
      </c>
      <c r="M43" s="15" t="n">
        <v>149</v>
      </c>
      <c r="N43" s="20" t="n">
        <v>2005</v>
      </c>
      <c r="O43" s="21" t="n">
        <v>22</v>
      </c>
      <c r="P43" s="13"/>
      <c r="Q43" s="13"/>
      <c r="R43" s="14" t="n">
        <v>6.01</v>
      </c>
      <c r="S43" s="15" t="n">
        <v>70.1</v>
      </c>
      <c r="T43" s="16" t="str">
        <f aca="false">IF(AND(ISNUMBER(K43),ISNUMBER(Q43)),Q43-K43,"")</f>
        <v/>
      </c>
      <c r="U43" s="17" t="n">
        <f aca="false">IF(AND(ISNUMBER(L43),ISNUMBER(R43)),R43-L43,"")</f>
        <v>2.02</v>
      </c>
      <c r="V43" s="18" t="n">
        <f aca="false">IF(AND(ISNUMBER(I43),ISNUMBER(O43)),O43-I43,"")</f>
        <v>-8</v>
      </c>
      <c r="W43" s="19" t="s">
        <v>231</v>
      </c>
      <c r="X43" s="12" t="s">
        <v>232</v>
      </c>
      <c r="Y43" s="12" t="s">
        <v>233</v>
      </c>
    </row>
    <row r="44" customFormat="false" ht="15" hidden="false" customHeight="false" outlineLevel="0" collapsed="false">
      <c r="A44" s="20" t="s">
        <v>48</v>
      </c>
      <c r="B44" s="20" t="n">
        <v>2004</v>
      </c>
      <c r="C44" s="20" t="n">
        <v>2</v>
      </c>
      <c r="D44" s="21" t="s">
        <v>234</v>
      </c>
      <c r="E44" s="12" t="s">
        <v>235</v>
      </c>
      <c r="F44" s="20" t="s">
        <v>80</v>
      </c>
      <c r="G44" s="20" t="s">
        <v>34</v>
      </c>
      <c r="H44" s="20" t="n">
        <v>2004</v>
      </c>
      <c r="I44" s="21" t="n">
        <v>47</v>
      </c>
      <c r="J44" s="13"/>
      <c r="K44" s="13"/>
      <c r="L44" s="14" t="n">
        <v>3.23</v>
      </c>
      <c r="M44" s="15" t="n">
        <v>153.1</v>
      </c>
      <c r="N44" s="20" t="n">
        <v>2005</v>
      </c>
      <c r="O44" s="21" t="n">
        <v>46</v>
      </c>
      <c r="P44" s="13"/>
      <c r="Q44" s="13"/>
      <c r="R44" s="14" t="n">
        <v>2.29</v>
      </c>
      <c r="S44" s="15" t="n">
        <v>63</v>
      </c>
      <c r="T44" s="16" t="str">
        <f aca="false">IF(AND(ISNUMBER(K44),ISNUMBER(Q44)),Q44-K44,"")</f>
        <v/>
      </c>
      <c r="U44" s="17" t="n">
        <f aca="false">IF(AND(ISNUMBER(L44),ISNUMBER(R44)),R44-L44,"")</f>
        <v>-0.94</v>
      </c>
      <c r="V44" s="18" t="n">
        <f aca="false">IF(AND(ISNUMBER(I44),ISNUMBER(O44)),O44-I44,"")</f>
        <v>-1</v>
      </c>
      <c r="W44" s="19" t="s">
        <v>236</v>
      </c>
      <c r="X44" s="12" t="s">
        <v>232</v>
      </c>
      <c r="Y44" s="12" t="s">
        <v>237</v>
      </c>
    </row>
    <row r="45" customFormat="false" ht="15" hidden="false" customHeight="false" outlineLevel="0" collapsed="false">
      <c r="A45" s="7" t="s">
        <v>25</v>
      </c>
      <c r="B45" s="7" t="n">
        <v>2005</v>
      </c>
      <c r="C45" s="7" t="n">
        <v>1</v>
      </c>
      <c r="D45" s="8" t="s">
        <v>238</v>
      </c>
      <c r="E45" s="9" t="s">
        <v>239</v>
      </c>
      <c r="F45" s="7" t="s">
        <v>80</v>
      </c>
      <c r="G45" s="7" t="s">
        <v>34</v>
      </c>
      <c r="H45" s="20" t="n">
        <v>2005</v>
      </c>
      <c r="I45" s="21" t="n">
        <v>61</v>
      </c>
      <c r="J45" s="13"/>
      <c r="K45" s="13"/>
      <c r="L45" s="14" t="n">
        <v>1.18</v>
      </c>
      <c r="M45" s="15" t="n">
        <v>99</v>
      </c>
      <c r="N45" s="20" t="n">
        <v>2006</v>
      </c>
      <c r="O45" s="21" t="n">
        <v>63</v>
      </c>
      <c r="P45" s="13"/>
      <c r="Q45" s="13"/>
      <c r="R45" s="14" t="n">
        <v>1.59</v>
      </c>
      <c r="S45" s="15" t="n">
        <v>79.1</v>
      </c>
      <c r="T45" s="16" t="str">
        <f aca="false">IF(AND(ISNUMBER(K45),ISNUMBER(Q45)),Q45-K45,"")</f>
        <v/>
      </c>
      <c r="U45" s="17" t="n">
        <f aca="false">IF(AND(ISNUMBER(L45),ISNUMBER(R45)),R45-L45,"")</f>
        <v>0.41</v>
      </c>
      <c r="V45" s="18" t="n">
        <f aca="false">IF(AND(ISNUMBER(I45),ISNUMBER(O45)),O45-I45,"")</f>
        <v>2</v>
      </c>
      <c r="W45" s="19" t="s">
        <v>240</v>
      </c>
      <c r="X45" s="12" t="s">
        <v>241</v>
      </c>
      <c r="Y45" s="12" t="s">
        <v>242</v>
      </c>
    </row>
    <row r="46" customFormat="false" ht="15" hidden="false" customHeight="false" outlineLevel="0" collapsed="false">
      <c r="A46" s="20" t="s">
        <v>48</v>
      </c>
      <c r="B46" s="20" t="n">
        <v>2005</v>
      </c>
      <c r="C46" s="20" t="s">
        <v>68</v>
      </c>
      <c r="D46" s="21" t="s">
        <v>243</v>
      </c>
      <c r="E46" s="12" t="s">
        <v>244</v>
      </c>
      <c r="F46" s="20" t="s">
        <v>175</v>
      </c>
      <c r="G46" s="20" t="s">
        <v>34</v>
      </c>
      <c r="H46" s="20" t="n">
        <v>2005</v>
      </c>
      <c r="I46" s="21" t="n">
        <v>28</v>
      </c>
      <c r="J46" s="13"/>
      <c r="K46" s="13"/>
      <c r="L46" s="14" t="n">
        <v>4.63</v>
      </c>
      <c r="M46" s="15" t="n">
        <v>107</v>
      </c>
      <c r="N46" s="20" t="n">
        <v>2006</v>
      </c>
      <c r="O46" s="21" t="n">
        <v>41</v>
      </c>
      <c r="P46" s="13"/>
      <c r="Q46" s="13"/>
      <c r="R46" s="14" t="n">
        <v>4.46</v>
      </c>
      <c r="S46" s="15" t="n">
        <v>111</v>
      </c>
      <c r="T46" s="16" t="str">
        <f aca="false">IF(AND(ISNUMBER(K46),ISNUMBER(Q46)),Q46-K46,"")</f>
        <v/>
      </c>
      <c r="U46" s="17" t="n">
        <f aca="false">IF(AND(ISNUMBER(L46),ISNUMBER(R46)),R46-L46,"")</f>
        <v>-0.17</v>
      </c>
      <c r="V46" s="18" t="n">
        <f aca="false">IF(AND(ISNUMBER(I46),ISNUMBER(O46)),O46-I46,"")</f>
        <v>13</v>
      </c>
      <c r="W46" s="19" t="s">
        <v>245</v>
      </c>
      <c r="X46" s="12" t="s">
        <v>246</v>
      </c>
      <c r="Y46" s="12" t="s">
        <v>247</v>
      </c>
    </row>
    <row r="47" customFormat="false" ht="15" hidden="false" customHeight="false" outlineLevel="0" collapsed="false">
      <c r="A47" s="20" t="s">
        <v>48</v>
      </c>
      <c r="B47" s="20" t="n">
        <v>2005</v>
      </c>
      <c r="C47" s="20" t="s">
        <v>68</v>
      </c>
      <c r="D47" s="21" t="s">
        <v>248</v>
      </c>
      <c r="E47" s="12" t="s">
        <v>249</v>
      </c>
      <c r="F47" s="20" t="s">
        <v>175</v>
      </c>
      <c r="G47" s="20" t="s">
        <v>34</v>
      </c>
      <c r="H47" s="20" t="n">
        <v>2005</v>
      </c>
      <c r="I47" s="21" t="n">
        <v>72</v>
      </c>
      <c r="J47" s="13"/>
      <c r="K47" s="13"/>
      <c r="L47" s="14" t="n">
        <v>3.17</v>
      </c>
      <c r="M47" s="15" t="n">
        <v>82.1</v>
      </c>
      <c r="N47" s="20" t="n">
        <v>2006</v>
      </c>
      <c r="O47" s="21" t="n">
        <v>21</v>
      </c>
      <c r="P47" s="13"/>
      <c r="Q47" s="13"/>
      <c r="R47" s="14" t="n">
        <v>4.58</v>
      </c>
      <c r="S47" s="15" t="n">
        <v>19.2</v>
      </c>
      <c r="T47" s="16" t="str">
        <f aca="false">IF(AND(ISNUMBER(K47),ISNUMBER(Q47)),Q47-K47,"")</f>
        <v/>
      </c>
      <c r="U47" s="17" t="n">
        <f aca="false">IF(AND(ISNUMBER(L47),ISNUMBER(R47)),R47-L47,"")</f>
        <v>1.41</v>
      </c>
      <c r="V47" s="18" t="n">
        <f aca="false">IF(AND(ISNUMBER(I47),ISNUMBER(O47)),O47-I47,"")</f>
        <v>-51</v>
      </c>
      <c r="W47" s="19" t="s">
        <v>250</v>
      </c>
      <c r="X47" s="12" t="s">
        <v>246</v>
      </c>
      <c r="Y47" s="12" t="s">
        <v>251</v>
      </c>
    </row>
    <row r="48" customFormat="false" ht="15" hidden="false" customHeight="false" outlineLevel="0" collapsed="false">
      <c r="A48" s="7" t="s">
        <v>25</v>
      </c>
      <c r="B48" s="7" t="n">
        <v>2006</v>
      </c>
      <c r="C48" s="7" t="n">
        <v>1</v>
      </c>
      <c r="D48" s="8" t="s">
        <v>252</v>
      </c>
      <c r="E48" s="9" t="s">
        <v>253</v>
      </c>
      <c r="F48" s="7" t="s">
        <v>191</v>
      </c>
      <c r="G48" s="7" t="s">
        <v>34</v>
      </c>
      <c r="H48" s="20" t="n">
        <v>2006</v>
      </c>
      <c r="I48" s="21" t="n">
        <v>30</v>
      </c>
      <c r="J48" s="13"/>
      <c r="K48" s="13"/>
      <c r="L48" s="14" t="n">
        <v>2.23</v>
      </c>
      <c r="M48" s="15" t="n">
        <v>201.2</v>
      </c>
      <c r="N48" s="20" t="n">
        <v>2007</v>
      </c>
      <c r="O48" s="21" t="n">
        <v>30</v>
      </c>
      <c r="P48" s="13"/>
      <c r="Q48" s="13"/>
      <c r="R48" s="14" t="n">
        <v>2.94</v>
      </c>
      <c r="S48" s="15" t="n">
        <v>211</v>
      </c>
      <c r="T48" s="16" t="str">
        <f aca="false">IF(AND(ISNUMBER(K48),ISNUMBER(Q48)),Q48-K48,"")</f>
        <v/>
      </c>
      <c r="U48" s="17" t="n">
        <f aca="false">IF(AND(ISNUMBER(L48),ISNUMBER(R48)),R48-L48,"")</f>
        <v>0.71</v>
      </c>
      <c r="V48" s="18" t="n">
        <f aca="false">IF(AND(ISNUMBER(I48),ISNUMBER(O48)),O48-I48,"")</f>
        <v>0</v>
      </c>
      <c r="W48" s="19" t="s">
        <v>254</v>
      </c>
      <c r="X48" s="12" t="s">
        <v>255</v>
      </c>
      <c r="Y48" s="12" t="s">
        <v>256</v>
      </c>
    </row>
    <row r="49" customFormat="false" ht="15" hidden="false" customHeight="false" outlineLevel="0" collapsed="false">
      <c r="A49" s="20" t="s">
        <v>48</v>
      </c>
      <c r="B49" s="20" t="n">
        <v>2006</v>
      </c>
      <c r="C49" s="20" t="n">
        <v>2</v>
      </c>
      <c r="D49" s="21" t="s">
        <v>257</v>
      </c>
      <c r="E49" s="12" t="s">
        <v>258</v>
      </c>
      <c r="F49" s="11" t="s">
        <v>212</v>
      </c>
      <c r="G49" s="20" t="s">
        <v>34</v>
      </c>
      <c r="H49" s="20" t="n">
        <v>2006</v>
      </c>
      <c r="I49" s="21" t="n">
        <v>44</v>
      </c>
      <c r="J49" s="13"/>
      <c r="K49" s="13"/>
      <c r="L49" s="14" t="n">
        <v>3.26</v>
      </c>
      <c r="M49" s="15" t="n">
        <v>140.2</v>
      </c>
      <c r="N49" s="20" t="n">
        <v>2007</v>
      </c>
      <c r="O49" s="21" t="n">
        <v>55</v>
      </c>
      <c r="P49" s="13"/>
      <c r="Q49" s="13"/>
      <c r="R49" s="14" t="n">
        <v>2.43</v>
      </c>
      <c r="S49" s="15" t="n">
        <v>70.1</v>
      </c>
      <c r="T49" s="16" t="str">
        <f aca="false">IF(AND(ISNUMBER(K49),ISNUMBER(Q49)),Q49-K49,"")</f>
        <v/>
      </c>
      <c r="U49" s="17" t="n">
        <f aca="false">IF(AND(ISNUMBER(L49),ISNUMBER(R49)),R49-L49,"")</f>
        <v>-0.83</v>
      </c>
      <c r="V49" s="18" t="n">
        <f aca="false">IF(AND(ISNUMBER(I49),ISNUMBER(O49)),O49-I49,"")</f>
        <v>11</v>
      </c>
      <c r="W49" s="19" t="s">
        <v>259</v>
      </c>
      <c r="X49" s="12" t="s">
        <v>255</v>
      </c>
      <c r="Y49" s="12" t="s">
        <v>260</v>
      </c>
    </row>
    <row r="50" customFormat="false" ht="15" hidden="false" customHeight="false" outlineLevel="0" collapsed="false">
      <c r="A50" s="20" t="s">
        <v>48</v>
      </c>
      <c r="B50" s="20" t="n">
        <v>2006</v>
      </c>
      <c r="C50" s="20" t="n">
        <v>3</v>
      </c>
      <c r="D50" s="21" t="s">
        <v>261</v>
      </c>
      <c r="E50" s="12" t="s">
        <v>262</v>
      </c>
      <c r="F50" s="20" t="s">
        <v>152</v>
      </c>
      <c r="G50" s="20" t="s">
        <v>34</v>
      </c>
      <c r="H50" s="20" t="n">
        <v>2006</v>
      </c>
      <c r="I50" s="21" t="n">
        <v>29</v>
      </c>
      <c r="J50" s="13"/>
      <c r="K50" s="13"/>
      <c r="L50" s="14" t="n">
        <v>2.85</v>
      </c>
      <c r="M50" s="15" t="n">
        <v>183.1</v>
      </c>
      <c r="N50" s="20" t="n">
        <v>2007</v>
      </c>
      <c r="O50" s="21" t="n">
        <v>30</v>
      </c>
      <c r="P50" s="13"/>
      <c r="Q50" s="13"/>
      <c r="R50" s="14" t="n">
        <v>3.63</v>
      </c>
      <c r="S50" s="15" t="n">
        <v>168.2</v>
      </c>
      <c r="T50" s="16" t="str">
        <f aca="false">IF(AND(ISNUMBER(K50),ISNUMBER(Q50)),Q50-K50,"")</f>
        <v/>
      </c>
      <c r="U50" s="17" t="n">
        <f aca="false">IF(AND(ISNUMBER(L50),ISNUMBER(R50)),R50-L50,"")</f>
        <v>0.78</v>
      </c>
      <c r="V50" s="18" t="n">
        <f aca="false">IF(AND(ISNUMBER(I50),ISNUMBER(O50)),O50-I50,"")</f>
        <v>1</v>
      </c>
      <c r="W50" s="19" t="s">
        <v>263</v>
      </c>
      <c r="X50" s="12" t="s">
        <v>255</v>
      </c>
      <c r="Y50" s="12" t="s">
        <v>264</v>
      </c>
    </row>
    <row r="51" customFormat="false" ht="15" hidden="false" customHeight="false" outlineLevel="0" collapsed="false">
      <c r="A51" s="7" t="s">
        <v>25</v>
      </c>
      <c r="B51" s="7" t="n">
        <v>2007</v>
      </c>
      <c r="C51" s="7" t="n">
        <v>1</v>
      </c>
      <c r="D51" s="8" t="s">
        <v>265</v>
      </c>
      <c r="E51" s="9" t="s">
        <v>266</v>
      </c>
      <c r="F51" s="7" t="s">
        <v>175</v>
      </c>
      <c r="G51" s="7" t="s">
        <v>34</v>
      </c>
      <c r="H51" s="20" t="n">
        <v>2007</v>
      </c>
      <c r="I51" s="21" t="n">
        <v>64</v>
      </c>
      <c r="J51" s="13"/>
      <c r="K51" s="13"/>
      <c r="L51" s="14" t="n">
        <v>2.4</v>
      </c>
      <c r="M51" s="15" t="n">
        <v>101.1</v>
      </c>
      <c r="N51" s="20" t="n">
        <v>2008</v>
      </c>
      <c r="O51" s="21" t="n">
        <v>57</v>
      </c>
      <c r="P51" s="13"/>
      <c r="Q51" s="13"/>
      <c r="R51" s="14" t="n">
        <v>3.41</v>
      </c>
      <c r="S51" s="15" t="n">
        <v>87</v>
      </c>
      <c r="T51" s="16" t="str">
        <f aca="false">IF(AND(ISNUMBER(K51),ISNUMBER(Q51)),Q51-K51,"")</f>
        <v/>
      </c>
      <c r="U51" s="17" t="n">
        <f aca="false">IF(AND(ISNUMBER(L51),ISNUMBER(R51)),R51-L51,"")</f>
        <v>1.01</v>
      </c>
      <c r="V51" s="18" t="n">
        <f aca="false">IF(AND(ISNUMBER(I51),ISNUMBER(O51)),O51-I51,"")</f>
        <v>-7</v>
      </c>
      <c r="W51" s="19" t="s">
        <v>267</v>
      </c>
      <c r="X51" s="12" t="s">
        <v>268</v>
      </c>
      <c r="Y51" s="12" t="s">
        <v>269</v>
      </c>
    </row>
    <row r="52" customFormat="false" ht="15" hidden="false" customHeight="false" outlineLevel="0" collapsed="false">
      <c r="A52" s="20" t="s">
        <v>48</v>
      </c>
      <c r="B52" s="20" t="n">
        <v>2007</v>
      </c>
      <c r="C52" s="20" t="n">
        <v>2</v>
      </c>
      <c r="D52" s="21" t="s">
        <v>270</v>
      </c>
      <c r="E52" s="12" t="s">
        <v>271</v>
      </c>
      <c r="F52" s="20" t="s">
        <v>175</v>
      </c>
      <c r="G52" s="20" t="s">
        <v>29</v>
      </c>
      <c r="H52" s="20" t="n">
        <v>2007</v>
      </c>
      <c r="I52" s="21" t="n">
        <v>99</v>
      </c>
      <c r="J52" s="13" t="n">
        <v>0.273</v>
      </c>
      <c r="K52" s="13" t="n">
        <v>0.733</v>
      </c>
      <c r="L52" s="14"/>
      <c r="M52" s="15"/>
      <c r="N52" s="20" t="n">
        <v>2008</v>
      </c>
      <c r="O52" s="21" t="n">
        <v>126</v>
      </c>
      <c r="P52" s="13" t="n">
        <v>0.357</v>
      </c>
      <c r="Q52" s="13" t="n">
        <v>0.963</v>
      </c>
      <c r="R52" s="14"/>
      <c r="S52" s="15"/>
      <c r="T52" s="16" t="n">
        <f aca="false">IF(AND(ISNUMBER(K52),ISNUMBER(Q52)),Q52-K52,"")</f>
        <v>0.23</v>
      </c>
      <c r="U52" s="17" t="str">
        <f aca="false">IF(AND(ISNUMBER(L52),ISNUMBER(R52)),R52-L52,"")</f>
        <v/>
      </c>
      <c r="V52" s="18" t="n">
        <f aca="false">IF(AND(ISNUMBER(I52),ISNUMBER(O52)),O52-I52,"")</f>
        <v>27</v>
      </c>
      <c r="W52" s="19" t="s">
        <v>272</v>
      </c>
      <c r="X52" s="12" t="s">
        <v>268</v>
      </c>
      <c r="Y52" s="12" t="s">
        <v>273</v>
      </c>
    </row>
    <row r="53" customFormat="false" ht="15" hidden="false" customHeight="false" outlineLevel="0" collapsed="false">
      <c r="A53" s="20" t="s">
        <v>48</v>
      </c>
      <c r="B53" s="20" t="n">
        <v>2007</v>
      </c>
      <c r="C53" s="20" t="n">
        <v>3</v>
      </c>
      <c r="D53" s="21" t="s">
        <v>274</v>
      </c>
      <c r="E53" s="12" t="s">
        <v>275</v>
      </c>
      <c r="F53" s="20" t="s">
        <v>152</v>
      </c>
      <c r="G53" s="20" t="s">
        <v>34</v>
      </c>
      <c r="H53" s="20" t="n">
        <v>2007</v>
      </c>
      <c r="I53" s="21" t="n">
        <v>73</v>
      </c>
      <c r="J53" s="13"/>
      <c r="K53" s="13"/>
      <c r="L53" s="14" t="n">
        <v>3.21</v>
      </c>
      <c r="M53" s="15" t="n">
        <v>81.1</v>
      </c>
      <c r="N53" s="20" t="n">
        <v>2008</v>
      </c>
      <c r="O53" s="21" t="n">
        <v>52</v>
      </c>
      <c r="P53" s="13"/>
      <c r="Q53" s="13"/>
      <c r="R53" s="14" t="n">
        <v>3.54</v>
      </c>
      <c r="S53" s="15" t="n">
        <v>56</v>
      </c>
      <c r="T53" s="16" t="str">
        <f aca="false">IF(AND(ISNUMBER(K53),ISNUMBER(Q53)),Q53-K53,"")</f>
        <v/>
      </c>
      <c r="U53" s="17" t="n">
        <f aca="false">IF(AND(ISNUMBER(L53),ISNUMBER(R53)),R53-L53,"")</f>
        <v>0.33</v>
      </c>
      <c r="V53" s="18" t="n">
        <f aca="false">IF(AND(ISNUMBER(I53),ISNUMBER(O53)),O53-I53,"")</f>
        <v>-21</v>
      </c>
      <c r="W53" s="19" t="s">
        <v>276</v>
      </c>
      <c r="X53" s="12" t="s">
        <v>268</v>
      </c>
      <c r="Y53" s="12" t="s">
        <v>277</v>
      </c>
    </row>
    <row r="54" customFormat="false" ht="15" hidden="false" customHeight="false" outlineLevel="0" collapsed="false">
      <c r="A54" s="7" t="s">
        <v>25</v>
      </c>
      <c r="B54" s="7" t="n">
        <v>2008</v>
      </c>
      <c r="C54" s="7" t="n">
        <v>1</v>
      </c>
      <c r="D54" s="8" t="s">
        <v>278</v>
      </c>
      <c r="E54" s="9" t="s">
        <v>279</v>
      </c>
      <c r="F54" s="7" t="s">
        <v>80</v>
      </c>
      <c r="G54" s="7" t="s">
        <v>29</v>
      </c>
      <c r="H54" s="20" t="n">
        <v>2008</v>
      </c>
      <c r="I54" s="21" t="n">
        <v>126</v>
      </c>
      <c r="J54" s="13" t="n">
        <v>0.276</v>
      </c>
      <c r="K54" s="13" t="n">
        <v>0.851</v>
      </c>
      <c r="L54" s="14"/>
      <c r="M54" s="15"/>
      <c r="N54" s="20" t="n">
        <v>2009</v>
      </c>
      <c r="O54" s="21" t="n">
        <v>113</v>
      </c>
      <c r="P54" s="13" t="n">
        <v>0.284</v>
      </c>
      <c r="Q54" s="13" t="n">
        <v>0.883</v>
      </c>
      <c r="R54" s="14"/>
      <c r="S54" s="15"/>
      <c r="T54" s="16" t="n">
        <f aca="false">IF(AND(ISNUMBER(K54),ISNUMBER(Q54)),Q54-K54,"")</f>
        <v>0.032</v>
      </c>
      <c r="U54" s="17" t="str">
        <f aca="false">IF(AND(ISNUMBER(L54),ISNUMBER(R54)),R54-L54,"")</f>
        <v/>
      </c>
      <c r="V54" s="18" t="n">
        <f aca="false">IF(AND(ISNUMBER(I54),ISNUMBER(O54)),O54-I54,"")</f>
        <v>-13</v>
      </c>
      <c r="W54" s="19" t="s">
        <v>280</v>
      </c>
      <c r="X54" s="12" t="s">
        <v>281</v>
      </c>
      <c r="Y54" s="12" t="s">
        <v>282</v>
      </c>
    </row>
    <row r="55" customFormat="false" ht="15" hidden="false" customHeight="false" outlineLevel="0" collapsed="false">
      <c r="A55" s="20" t="s">
        <v>48</v>
      </c>
      <c r="B55" s="20" t="n">
        <v>2008</v>
      </c>
      <c r="C55" s="20" t="n">
        <v>2</v>
      </c>
      <c r="D55" s="21" t="s">
        <v>283</v>
      </c>
      <c r="E55" s="12" t="s">
        <v>284</v>
      </c>
      <c r="F55" s="11" t="s">
        <v>212</v>
      </c>
      <c r="G55" s="20" t="s">
        <v>29</v>
      </c>
      <c r="H55" s="20" t="n">
        <v>2008</v>
      </c>
      <c r="I55" s="21" t="n">
        <v>112</v>
      </c>
      <c r="J55" s="13" t="n">
        <v>0.255</v>
      </c>
      <c r="K55" s="13" t="n">
        <v>0.607</v>
      </c>
      <c r="L55" s="14"/>
      <c r="M55" s="15"/>
      <c r="N55" s="20" t="n">
        <v>2009</v>
      </c>
      <c r="O55" s="21" t="n">
        <v>72</v>
      </c>
      <c r="P55" s="13" t="n">
        <v>0.293</v>
      </c>
      <c r="Q55" s="13" t="n">
        <v>0.742</v>
      </c>
      <c r="R55" s="14"/>
      <c r="S55" s="15"/>
      <c r="T55" s="16" t="n">
        <f aca="false">IF(AND(ISNUMBER(K55),ISNUMBER(Q55)),Q55-K55,"")</f>
        <v>0.135</v>
      </c>
      <c r="U55" s="17" t="str">
        <f aca="false">IF(AND(ISNUMBER(L55),ISNUMBER(R55)),R55-L55,"")</f>
        <v/>
      </c>
      <c r="V55" s="18" t="n">
        <f aca="false">IF(AND(ISNUMBER(I55),ISNUMBER(O55)),O55-I55,"")</f>
        <v>-40</v>
      </c>
      <c r="W55" s="19" t="s">
        <v>285</v>
      </c>
      <c r="X55" s="12" t="s">
        <v>281</v>
      </c>
      <c r="Y55" s="12" t="s">
        <v>286</v>
      </c>
    </row>
    <row r="56" customFormat="false" ht="29.85" hidden="false" customHeight="false" outlineLevel="0" collapsed="false">
      <c r="A56" s="20" t="s">
        <v>48</v>
      </c>
      <c r="B56" s="20" t="n">
        <v>2008</v>
      </c>
      <c r="C56" s="20" t="n">
        <v>3</v>
      </c>
      <c r="D56" s="21" t="s">
        <v>287</v>
      </c>
      <c r="E56" s="12" t="s">
        <v>288</v>
      </c>
      <c r="F56" s="20" t="s">
        <v>109</v>
      </c>
      <c r="G56" s="20" t="s">
        <v>29</v>
      </c>
      <c r="H56" s="20" t="n">
        <v>2008</v>
      </c>
      <c r="I56" s="21" t="n">
        <v>80</v>
      </c>
      <c r="J56" s="13" t="n">
        <v>0.303</v>
      </c>
      <c r="K56" s="13" t="n">
        <v>0.791</v>
      </c>
      <c r="L56" s="14"/>
      <c r="M56" s="15"/>
      <c r="N56" s="20" t="n">
        <v>2009</v>
      </c>
      <c r="O56" s="21" t="n">
        <v>34</v>
      </c>
      <c r="P56" s="13" t="n">
        <v>0.186</v>
      </c>
      <c r="Q56" s="13" t="n">
        <v>0.6</v>
      </c>
      <c r="R56" s="14"/>
      <c r="S56" s="15"/>
      <c r="T56" s="16" t="n">
        <f aca="false">IF(AND(ISNUMBER(K56),ISNUMBER(Q56)),Q56-K56,"")</f>
        <v>-0.191</v>
      </c>
      <c r="U56" s="17" t="str">
        <f aca="false">IF(AND(ISNUMBER(L56),ISNUMBER(R56)),R56-L56,"")</f>
        <v/>
      </c>
      <c r="V56" s="18" t="n">
        <f aca="false">IF(AND(ISNUMBER(I56),ISNUMBER(O56)),O56-I56,"")</f>
        <v>-46</v>
      </c>
      <c r="W56" s="19" t="s">
        <v>289</v>
      </c>
      <c r="X56" s="12" t="s">
        <v>281</v>
      </c>
      <c r="Y56" s="12" t="s">
        <v>290</v>
      </c>
    </row>
    <row r="57" customFormat="false" ht="15" hidden="false" customHeight="false" outlineLevel="0" collapsed="false">
      <c r="A57" s="7" t="s">
        <v>25</v>
      </c>
      <c r="B57" s="7" t="n">
        <v>2009</v>
      </c>
      <c r="C57" s="7" t="n">
        <v>1</v>
      </c>
      <c r="D57" s="8" t="s">
        <v>291</v>
      </c>
      <c r="E57" s="9" t="s">
        <v>292</v>
      </c>
      <c r="F57" s="7" t="s">
        <v>175</v>
      </c>
      <c r="G57" s="7" t="s">
        <v>34</v>
      </c>
      <c r="H57" s="20" t="n">
        <v>2009</v>
      </c>
      <c r="I57" s="21" t="n">
        <v>51</v>
      </c>
      <c r="J57" s="13"/>
      <c r="K57" s="13"/>
      <c r="L57" s="14" t="n">
        <v>4.2</v>
      </c>
      <c r="M57" s="15" t="n">
        <v>40.2</v>
      </c>
      <c r="N57" s="20" t="n">
        <v>2010</v>
      </c>
      <c r="O57" s="21" t="n">
        <v>47</v>
      </c>
      <c r="P57" s="13"/>
      <c r="Q57" s="13"/>
      <c r="R57" s="14" t="n">
        <v>3.24</v>
      </c>
      <c r="S57" s="15" t="n">
        <v>41.2</v>
      </c>
      <c r="T57" s="16" t="str">
        <f aca="false">IF(AND(ISNUMBER(K57),ISNUMBER(Q57)),Q57-K57,"")</f>
        <v/>
      </c>
      <c r="U57" s="17" t="n">
        <f aca="false">IF(AND(ISNUMBER(L57),ISNUMBER(R57)),R57-L57,"")</f>
        <v>-0.96</v>
      </c>
      <c r="V57" s="18" t="n">
        <f aca="false">IF(AND(ISNUMBER(I57),ISNUMBER(O57)),O57-I57,"")</f>
        <v>-4</v>
      </c>
      <c r="W57" s="19" t="s">
        <v>293</v>
      </c>
      <c r="X57" s="12" t="s">
        <v>294</v>
      </c>
      <c r="Y57" s="12" t="s">
        <v>295</v>
      </c>
    </row>
    <row r="58" customFormat="false" ht="15" hidden="false" customHeight="false" outlineLevel="0" collapsed="false">
      <c r="A58" s="20" t="s">
        <v>48</v>
      </c>
      <c r="B58" s="20" t="n">
        <v>2009</v>
      </c>
      <c r="C58" s="20" t="n">
        <v>2</v>
      </c>
      <c r="D58" s="21" t="s">
        <v>296</v>
      </c>
      <c r="E58" s="12" t="s">
        <v>297</v>
      </c>
      <c r="F58" s="11" t="s">
        <v>212</v>
      </c>
      <c r="G58" s="20" t="s">
        <v>29</v>
      </c>
      <c r="H58" s="20" t="n">
        <v>2009</v>
      </c>
      <c r="I58" s="21" t="n">
        <v>123</v>
      </c>
      <c r="J58" s="13" t="n">
        <v>0.235</v>
      </c>
      <c r="K58" s="13" t="n">
        <v>0.701</v>
      </c>
      <c r="L58" s="14"/>
      <c r="M58" s="15"/>
      <c r="N58" s="20" t="n">
        <v>2010</v>
      </c>
      <c r="O58" s="21" t="n">
        <v>133</v>
      </c>
      <c r="P58" s="13" t="n">
        <v>0.291</v>
      </c>
      <c r="Q58" s="13" t="n">
        <v>0.766</v>
      </c>
      <c r="R58" s="14"/>
      <c r="S58" s="15"/>
      <c r="T58" s="16" t="n">
        <f aca="false">IF(AND(ISNUMBER(K58),ISNUMBER(Q58)),Q58-K58,"")</f>
        <v>0.0650000000000001</v>
      </c>
      <c r="U58" s="17" t="str">
        <f aca="false">IF(AND(ISNUMBER(L58),ISNUMBER(R58)),R58-L58,"")</f>
        <v/>
      </c>
      <c r="V58" s="18" t="n">
        <f aca="false">IF(AND(ISNUMBER(I58),ISNUMBER(O58)),O58-I58,"")</f>
        <v>10</v>
      </c>
      <c r="W58" s="19" t="s">
        <v>298</v>
      </c>
      <c r="X58" s="12" t="s">
        <v>294</v>
      </c>
      <c r="Y58" s="12" t="s">
        <v>299</v>
      </c>
    </row>
    <row r="59" customFormat="false" ht="15" hidden="false" customHeight="false" outlineLevel="0" collapsed="false">
      <c r="A59" s="7" t="s">
        <v>25</v>
      </c>
      <c r="B59" s="7" t="n">
        <v>2010</v>
      </c>
      <c r="C59" s="7" t="n">
        <v>1</v>
      </c>
      <c r="D59" s="8" t="s">
        <v>300</v>
      </c>
      <c r="E59" s="9" t="s">
        <v>301</v>
      </c>
      <c r="F59" s="7" t="s">
        <v>175</v>
      </c>
      <c r="G59" s="7" t="s">
        <v>29</v>
      </c>
      <c r="H59" s="20" t="n">
        <v>2010</v>
      </c>
      <c r="I59" s="21" t="n">
        <v>127</v>
      </c>
      <c r="J59" s="13" t="n">
        <v>0.267</v>
      </c>
      <c r="K59" s="13" t="n">
        <v>0.819</v>
      </c>
      <c r="L59" s="14"/>
      <c r="M59" s="15"/>
      <c r="N59" s="20" t="n">
        <v>2011</v>
      </c>
      <c r="O59" s="21" t="n">
        <v>119</v>
      </c>
      <c r="P59" s="13" t="n">
        <v>0.301</v>
      </c>
      <c r="Q59" s="13" t="n">
        <v>0.76</v>
      </c>
      <c r="R59" s="14"/>
      <c r="S59" s="15"/>
      <c r="T59" s="16" t="n">
        <f aca="false">IF(AND(ISNUMBER(K59),ISNUMBER(Q59)),Q59-K59,"")</f>
        <v>-0.0589999999999999</v>
      </c>
      <c r="U59" s="17" t="str">
        <f aca="false">IF(AND(ISNUMBER(L59),ISNUMBER(R59)),R59-L59,"")</f>
        <v/>
      </c>
      <c r="V59" s="18" t="n">
        <f aca="false">IF(AND(ISNUMBER(I59),ISNUMBER(O59)),O59-I59,"")</f>
        <v>-8</v>
      </c>
      <c r="W59" s="19" t="s">
        <v>302</v>
      </c>
      <c r="X59" s="12" t="s">
        <v>303</v>
      </c>
      <c r="Y59" s="12" t="s">
        <v>304</v>
      </c>
    </row>
    <row r="60" customFormat="false" ht="15" hidden="false" customHeight="false" outlineLevel="0" collapsed="false">
      <c r="A60" s="20" t="s">
        <v>48</v>
      </c>
      <c r="B60" s="20" t="n">
        <v>2010</v>
      </c>
      <c r="C60" s="20" t="n">
        <v>2</v>
      </c>
      <c r="D60" s="21" t="s">
        <v>305</v>
      </c>
      <c r="E60" s="12" t="s">
        <v>306</v>
      </c>
      <c r="F60" s="20" t="s">
        <v>307</v>
      </c>
      <c r="G60" s="20" t="s">
        <v>34</v>
      </c>
      <c r="H60" s="20" t="n">
        <v>2010</v>
      </c>
      <c r="I60" s="21" t="n">
        <v>30</v>
      </c>
      <c r="J60" s="13"/>
      <c r="K60" s="13"/>
      <c r="L60" s="14" t="n">
        <v>4.12</v>
      </c>
      <c r="M60" s="15" t="n">
        <v>131</v>
      </c>
      <c r="N60" s="20" t="n">
        <v>2011</v>
      </c>
      <c r="O60" s="21" t="n">
        <v>36</v>
      </c>
      <c r="P60" s="13"/>
      <c r="Q60" s="13"/>
      <c r="R60" s="14" t="n">
        <v>4.19</v>
      </c>
      <c r="S60" s="15" t="n">
        <v>152.2</v>
      </c>
      <c r="T60" s="16" t="str">
        <f aca="false">IF(AND(ISNUMBER(K60),ISNUMBER(Q60)),Q60-K60,"")</f>
        <v/>
      </c>
      <c r="U60" s="17" t="n">
        <f aca="false">IF(AND(ISNUMBER(L60),ISNUMBER(R60)),R60-L60,"")</f>
        <v>0.0700000000000003</v>
      </c>
      <c r="V60" s="18" t="n">
        <f aca="false">IF(AND(ISNUMBER(I60),ISNUMBER(O60)),O60-I60,"")</f>
        <v>6</v>
      </c>
      <c r="W60" s="19" t="s">
        <v>308</v>
      </c>
      <c r="X60" s="12" t="s">
        <v>303</v>
      </c>
      <c r="Y60" s="12" t="s">
        <v>309</v>
      </c>
    </row>
    <row r="61" customFormat="false" ht="15" hidden="false" customHeight="false" outlineLevel="0" collapsed="false">
      <c r="A61" s="20" t="s">
        <v>48</v>
      </c>
      <c r="B61" s="20" t="n">
        <v>2010</v>
      </c>
      <c r="C61" s="20" t="n">
        <v>2</v>
      </c>
      <c r="D61" s="21" t="s">
        <v>310</v>
      </c>
      <c r="E61" s="12" t="s">
        <v>311</v>
      </c>
      <c r="F61" s="20" t="s">
        <v>109</v>
      </c>
      <c r="G61" s="20" t="s">
        <v>34</v>
      </c>
      <c r="H61" s="20" t="n">
        <v>2010</v>
      </c>
      <c r="I61" s="21" t="n">
        <v>22</v>
      </c>
      <c r="J61" s="13"/>
      <c r="K61" s="13"/>
      <c r="L61" s="14" t="n">
        <v>4.14</v>
      </c>
      <c r="M61" s="15" t="n">
        <v>124</v>
      </c>
      <c r="N61" s="20" t="n">
        <v>2011</v>
      </c>
      <c r="O61" s="21" t="n">
        <v>39</v>
      </c>
      <c r="P61" s="13"/>
      <c r="Q61" s="13"/>
      <c r="R61" s="14" t="n">
        <v>6.35</v>
      </c>
      <c r="S61" s="15" t="n">
        <v>56.2</v>
      </c>
      <c r="T61" s="16" t="str">
        <f aca="false">IF(AND(ISNUMBER(K61),ISNUMBER(Q61)),Q61-K61,"")</f>
        <v/>
      </c>
      <c r="U61" s="17" t="n">
        <f aca="false">IF(AND(ISNUMBER(L61),ISNUMBER(R61)),R61-L61,"")</f>
        <v>2.21</v>
      </c>
      <c r="V61" s="18" t="n">
        <f aca="false">IF(AND(ISNUMBER(I61),ISNUMBER(O61)),O61-I61,"")</f>
        <v>17</v>
      </c>
      <c r="W61" s="19" t="s">
        <v>312</v>
      </c>
      <c r="X61" s="12" t="s">
        <v>303</v>
      </c>
      <c r="Y61" s="12" t="s">
        <v>313</v>
      </c>
    </row>
    <row r="62" customFormat="false" ht="15" hidden="false" customHeight="false" outlineLevel="0" collapsed="false">
      <c r="A62" s="20" t="s">
        <v>48</v>
      </c>
      <c r="B62" s="20" t="n">
        <v>2010</v>
      </c>
      <c r="C62" s="20" t="n">
        <v>3</v>
      </c>
      <c r="D62" s="21" t="s">
        <v>314</v>
      </c>
      <c r="E62" s="12" t="s">
        <v>315</v>
      </c>
      <c r="F62" s="11" t="s">
        <v>89</v>
      </c>
      <c r="G62" s="20" t="s">
        <v>29</v>
      </c>
      <c r="H62" s="20" t="n">
        <v>2010</v>
      </c>
      <c r="I62" s="21" t="n">
        <v>125</v>
      </c>
      <c r="J62" s="13" t="n">
        <v>0.241</v>
      </c>
      <c r="K62" s="13" t="n">
        <v>0.755</v>
      </c>
      <c r="L62" s="14"/>
      <c r="M62" s="15"/>
      <c r="N62" s="20" t="n">
        <v>2011</v>
      </c>
      <c r="O62" s="21" t="n">
        <v>63</v>
      </c>
      <c r="P62" s="13" t="n">
        <v>0.212</v>
      </c>
      <c r="Q62" s="13" t="n">
        <v>0.594</v>
      </c>
      <c r="R62" s="14"/>
      <c r="S62" s="15"/>
      <c r="T62" s="16" t="n">
        <f aca="false">IF(AND(ISNUMBER(K62),ISNUMBER(Q62)),Q62-K62,"")</f>
        <v>-0.161</v>
      </c>
      <c r="U62" s="17" t="str">
        <f aca="false">IF(AND(ISNUMBER(L62),ISNUMBER(R62)),R62-L62,"")</f>
        <v/>
      </c>
      <c r="V62" s="18" t="n">
        <f aca="false">IF(AND(ISNUMBER(I62),ISNUMBER(O62)),O62-I62,"")</f>
        <v>-62</v>
      </c>
      <c r="W62" s="19" t="s">
        <v>316</v>
      </c>
      <c r="X62" s="12" t="s">
        <v>303</v>
      </c>
      <c r="Y62" s="12" t="s">
        <v>317</v>
      </c>
    </row>
    <row r="63" customFormat="false" ht="15" hidden="false" customHeight="false" outlineLevel="0" collapsed="false">
      <c r="A63" s="7" t="s">
        <v>25</v>
      </c>
      <c r="B63" s="7" t="n">
        <v>2011</v>
      </c>
      <c r="C63" s="7" t="n">
        <v>1</v>
      </c>
      <c r="D63" s="8" t="s">
        <v>318</v>
      </c>
      <c r="E63" s="9" t="s">
        <v>319</v>
      </c>
      <c r="F63" s="7" t="s">
        <v>80</v>
      </c>
      <c r="G63" s="7" t="s">
        <v>29</v>
      </c>
      <c r="H63" s="20" t="n">
        <v>2011</v>
      </c>
      <c r="I63" s="21" t="n">
        <v>99</v>
      </c>
      <c r="J63" s="13" t="n">
        <v>0.294</v>
      </c>
      <c r="K63" s="13" t="n">
        <v>0.719</v>
      </c>
      <c r="L63" s="14"/>
      <c r="M63" s="15"/>
      <c r="N63" s="20" t="n">
        <v>2012</v>
      </c>
      <c r="O63" s="21" t="n">
        <v>122</v>
      </c>
      <c r="P63" s="13" t="n">
        <v>0.245</v>
      </c>
      <c r="Q63" s="13" t="n">
        <v>0.641</v>
      </c>
      <c r="R63" s="14"/>
      <c r="S63" s="15"/>
      <c r="T63" s="16" t="n">
        <f aca="false">IF(AND(ISNUMBER(K63),ISNUMBER(Q63)),Q63-K63,"")</f>
        <v>-0.078</v>
      </c>
      <c r="U63" s="17" t="str">
        <f aca="false">IF(AND(ISNUMBER(L63),ISNUMBER(R63)),R63-L63,"")</f>
        <v/>
      </c>
      <c r="V63" s="18" t="n">
        <f aca="false">IF(AND(ISNUMBER(I63),ISNUMBER(O63)),O63-I63,"")</f>
        <v>23</v>
      </c>
      <c r="W63" s="19" t="s">
        <v>320</v>
      </c>
      <c r="X63" s="12" t="s">
        <v>321</v>
      </c>
      <c r="Y63" s="12" t="s">
        <v>322</v>
      </c>
    </row>
    <row r="64" customFormat="false" ht="15" hidden="false" customHeight="false" outlineLevel="0" collapsed="false">
      <c r="A64" s="20" t="s">
        <v>48</v>
      </c>
      <c r="B64" s="20" t="n">
        <v>2011</v>
      </c>
      <c r="C64" s="20" t="n">
        <v>2</v>
      </c>
      <c r="D64" s="21" t="s">
        <v>323</v>
      </c>
      <c r="E64" s="12" t="s">
        <v>324</v>
      </c>
      <c r="F64" s="11" t="s">
        <v>89</v>
      </c>
      <c r="G64" s="20" t="s">
        <v>34</v>
      </c>
      <c r="H64" s="20" t="n">
        <v>2011</v>
      </c>
      <c r="I64" s="21" t="n">
        <v>65</v>
      </c>
      <c r="J64" s="13"/>
      <c r="K64" s="13"/>
      <c r="L64" s="14" t="n">
        <v>4.46</v>
      </c>
      <c r="M64" s="15" t="n">
        <v>82.2</v>
      </c>
      <c r="N64" s="20" t="n">
        <v>2012</v>
      </c>
      <c r="O64" s="21" t="n">
        <v>18</v>
      </c>
      <c r="P64" s="13"/>
      <c r="Q64" s="13"/>
      <c r="R64" s="14" t="n">
        <v>4.53</v>
      </c>
      <c r="S64" s="15" t="n">
        <v>55.2</v>
      </c>
      <c r="T64" s="16" t="str">
        <f aca="false">IF(AND(ISNUMBER(K64),ISNUMBER(Q64)),Q64-K64,"")</f>
        <v/>
      </c>
      <c r="U64" s="17" t="n">
        <f aca="false">IF(AND(ISNUMBER(L64),ISNUMBER(R64)),R64-L64,"")</f>
        <v>0.0700000000000003</v>
      </c>
      <c r="V64" s="18" t="n">
        <f aca="false">IF(AND(ISNUMBER(I64),ISNUMBER(O64)),O64-I64,"")</f>
        <v>-47</v>
      </c>
      <c r="W64" s="19" t="s">
        <v>325</v>
      </c>
      <c r="X64" s="12" t="s">
        <v>326</v>
      </c>
      <c r="Y64" s="12" t="s">
        <v>327</v>
      </c>
    </row>
    <row r="65" customFormat="false" ht="15" hidden="false" customHeight="false" outlineLevel="0" collapsed="false">
      <c r="A65" s="7" t="s">
        <v>25</v>
      </c>
      <c r="B65" s="7" t="n">
        <v>2012</v>
      </c>
      <c r="C65" s="7" t="n">
        <v>1</v>
      </c>
      <c r="D65" s="8" t="s">
        <v>328</v>
      </c>
      <c r="E65" s="9" t="s">
        <v>329</v>
      </c>
      <c r="F65" s="7" t="s">
        <v>307</v>
      </c>
      <c r="G65" s="7" t="s">
        <v>29</v>
      </c>
      <c r="H65" s="20" t="n">
        <v>2012</v>
      </c>
      <c r="I65" s="21" t="n">
        <v>127</v>
      </c>
      <c r="J65" s="13" t="n">
        <v>0.266</v>
      </c>
      <c r="K65" s="13" t="n">
        <v>0.709</v>
      </c>
      <c r="L65" s="14"/>
      <c r="M65" s="15"/>
      <c r="N65" s="20" t="n">
        <v>2013</v>
      </c>
      <c r="O65" s="21" t="n">
        <v>86</v>
      </c>
      <c r="P65" s="13" t="n">
        <v>0.266</v>
      </c>
      <c r="Q65" s="13" t="n">
        <v>0.671</v>
      </c>
      <c r="R65" s="14"/>
      <c r="S65" s="15"/>
      <c r="T65" s="16" t="n">
        <f aca="false">IF(AND(ISNUMBER(K65),ISNUMBER(Q65)),Q65-K65,"")</f>
        <v>-0.0379999999999999</v>
      </c>
      <c r="U65" s="17" t="str">
        <f aca="false">IF(AND(ISNUMBER(L65),ISNUMBER(R65)),R65-L65,"")</f>
        <v/>
      </c>
      <c r="V65" s="18" t="n">
        <f aca="false">IF(AND(ISNUMBER(I65),ISNUMBER(O65)),O65-I65,"")</f>
        <v>-41</v>
      </c>
      <c r="W65" s="19" t="s">
        <v>267</v>
      </c>
      <c r="X65" s="12" t="s">
        <v>330</v>
      </c>
      <c r="Y65" s="12" t="s">
        <v>331</v>
      </c>
    </row>
    <row r="66" customFormat="false" ht="15" hidden="false" customHeight="false" outlineLevel="0" collapsed="false">
      <c r="A66" s="20" t="s">
        <v>48</v>
      </c>
      <c r="B66" s="20" t="n">
        <v>2012</v>
      </c>
      <c r="C66" s="20" t="n">
        <v>2</v>
      </c>
      <c r="D66" s="21" t="s">
        <v>332</v>
      </c>
      <c r="E66" s="12" t="s">
        <v>333</v>
      </c>
      <c r="F66" s="11" t="s">
        <v>212</v>
      </c>
      <c r="G66" s="20" t="s">
        <v>34</v>
      </c>
      <c r="H66" s="20" t="n">
        <v>2012</v>
      </c>
      <c r="I66" s="21" t="n">
        <v>50</v>
      </c>
      <c r="J66" s="13"/>
      <c r="K66" s="13"/>
      <c r="L66" s="14" t="n">
        <v>3.38</v>
      </c>
      <c r="M66" s="15" t="n">
        <v>61.1</v>
      </c>
      <c r="N66" s="20" t="n">
        <v>2013</v>
      </c>
      <c r="O66" s="21" t="n">
        <v>35</v>
      </c>
      <c r="P66" s="13"/>
      <c r="Q66" s="13"/>
      <c r="R66" s="14" t="n">
        <v>10.92</v>
      </c>
      <c r="S66" s="15" t="n">
        <v>29.2</v>
      </c>
      <c r="T66" s="16" t="str">
        <f aca="false">IF(AND(ISNUMBER(K66),ISNUMBER(Q66)),Q66-K66,"")</f>
        <v/>
      </c>
      <c r="U66" s="17" t="n">
        <f aca="false">IF(AND(ISNUMBER(L66),ISNUMBER(R66)),R66-L66,"")</f>
        <v>7.54</v>
      </c>
      <c r="V66" s="18" t="n">
        <f aca="false">IF(AND(ISNUMBER(I66),ISNUMBER(O66)),O66-I66,"")</f>
        <v>-15</v>
      </c>
      <c r="W66" s="19" t="s">
        <v>285</v>
      </c>
      <c r="X66" s="12" t="s">
        <v>330</v>
      </c>
      <c r="Y66" s="12" t="s">
        <v>334</v>
      </c>
    </row>
    <row r="67" customFormat="false" ht="15" hidden="false" customHeight="false" outlineLevel="0" collapsed="false">
      <c r="A67" s="20" t="s">
        <v>48</v>
      </c>
      <c r="B67" s="20" t="n">
        <v>2012</v>
      </c>
      <c r="C67" s="20" t="n">
        <v>3</v>
      </c>
      <c r="D67" s="21" t="s">
        <v>335</v>
      </c>
      <c r="E67" s="12" t="s">
        <v>336</v>
      </c>
      <c r="F67" s="11" t="s">
        <v>89</v>
      </c>
      <c r="G67" s="20" t="s">
        <v>34</v>
      </c>
      <c r="H67" s="20" t="n">
        <v>2012</v>
      </c>
      <c r="I67" s="21" t="n">
        <v>37</v>
      </c>
      <c r="J67" s="13"/>
      <c r="K67" s="13"/>
      <c r="L67" s="14" t="n">
        <v>4.42</v>
      </c>
      <c r="M67" s="15" t="n">
        <v>73.1</v>
      </c>
      <c r="N67" s="20" t="n">
        <v>2013</v>
      </c>
      <c r="O67" s="21" t="n">
        <v>4</v>
      </c>
      <c r="P67" s="13"/>
      <c r="Q67" s="13"/>
      <c r="R67" s="14" t="n">
        <v>4.5</v>
      </c>
      <c r="S67" s="15" t="n">
        <v>2</v>
      </c>
      <c r="T67" s="16" t="str">
        <f aca="false">IF(AND(ISNUMBER(K67),ISNUMBER(Q67)),Q67-K67,"")</f>
        <v/>
      </c>
      <c r="U67" s="17" t="n">
        <f aca="false">IF(AND(ISNUMBER(L67),ISNUMBER(R67)),R67-L67,"")</f>
        <v>0.0800000000000001</v>
      </c>
      <c r="V67" s="18" t="n">
        <f aca="false">IF(AND(ISNUMBER(I67),ISNUMBER(O67)),O67-I67,"")</f>
        <v>-33</v>
      </c>
      <c r="W67" s="19" t="s">
        <v>337</v>
      </c>
      <c r="X67" s="12" t="s">
        <v>330</v>
      </c>
      <c r="Y67" s="12" t="s">
        <v>338</v>
      </c>
    </row>
    <row r="68" customFormat="false" ht="15" hidden="false" customHeight="false" outlineLevel="0" collapsed="false">
      <c r="A68" s="7" t="s">
        <v>25</v>
      </c>
      <c r="B68" s="7" t="n">
        <v>2013</v>
      </c>
      <c r="C68" s="7" t="n">
        <v>1</v>
      </c>
      <c r="D68" s="8" t="s">
        <v>339</v>
      </c>
      <c r="E68" s="9" t="s">
        <v>340</v>
      </c>
      <c r="F68" s="10" t="s">
        <v>341</v>
      </c>
      <c r="G68" s="7" t="s">
        <v>34</v>
      </c>
      <c r="H68" s="20" t="n">
        <v>2013</v>
      </c>
      <c r="I68" s="21" t="n">
        <v>27</v>
      </c>
      <c r="J68" s="13"/>
      <c r="K68" s="13"/>
      <c r="L68" s="14" t="n">
        <v>2.88</v>
      </c>
      <c r="M68" s="15" t="n">
        <v>156</v>
      </c>
      <c r="N68" s="20" t="n">
        <v>2014</v>
      </c>
      <c r="O68" s="21" t="n">
        <v>29</v>
      </c>
      <c r="P68" s="13"/>
      <c r="Q68" s="13"/>
      <c r="R68" s="14" t="n">
        <v>4.21</v>
      </c>
      <c r="S68" s="15" t="n">
        <v>156</v>
      </c>
      <c r="T68" s="16" t="str">
        <f aca="false">IF(AND(ISNUMBER(K68),ISNUMBER(Q68)),Q68-K68,"")</f>
        <v/>
      </c>
      <c r="U68" s="17" t="n">
        <f aca="false">IF(AND(ISNUMBER(L68),ISNUMBER(R68)),R68-L68,"")</f>
        <v>1.33</v>
      </c>
      <c r="V68" s="18" t="n">
        <f aca="false">IF(AND(ISNUMBER(I68),ISNUMBER(O68)),O68-I68,"")</f>
        <v>2</v>
      </c>
      <c r="W68" s="22" t="s">
        <v>342</v>
      </c>
      <c r="X68" s="12" t="s">
        <v>343</v>
      </c>
      <c r="Y68" s="12" t="s">
        <v>344</v>
      </c>
    </row>
    <row r="69" customFormat="false" ht="15" hidden="false" customHeight="false" outlineLevel="0" collapsed="false">
      <c r="A69" s="20" t="s">
        <v>48</v>
      </c>
      <c r="B69" s="20" t="n">
        <v>2013</v>
      </c>
      <c r="C69" s="20" t="n">
        <v>2</v>
      </c>
      <c r="D69" s="21" t="s">
        <v>345</v>
      </c>
      <c r="E69" s="12" t="s">
        <v>346</v>
      </c>
      <c r="F69" s="20" t="s">
        <v>175</v>
      </c>
      <c r="G69" s="20" t="s">
        <v>34</v>
      </c>
      <c r="H69" s="20" t="n">
        <v>2013</v>
      </c>
      <c r="I69" s="21" t="n">
        <v>41</v>
      </c>
      <c r="J69" s="13"/>
      <c r="K69" s="13"/>
      <c r="L69" s="14" t="n">
        <v>3.53</v>
      </c>
      <c r="M69" s="15" t="n">
        <v>145.1</v>
      </c>
      <c r="N69" s="20" t="n">
        <v>2014</v>
      </c>
      <c r="O69" s="21" t="n">
        <v>30</v>
      </c>
      <c r="P69" s="13"/>
      <c r="Q69" s="13"/>
      <c r="R69" s="14" t="n">
        <v>4.42</v>
      </c>
      <c r="S69" s="15" t="n">
        <v>177.1</v>
      </c>
      <c r="T69" s="16" t="str">
        <f aca="false">IF(AND(ISNUMBER(K69),ISNUMBER(Q69)),Q69-K69,"")</f>
        <v/>
      </c>
      <c r="U69" s="17" t="n">
        <f aca="false">IF(AND(ISNUMBER(L69),ISNUMBER(R69)),R69-L69,"")</f>
        <v>0.89</v>
      </c>
      <c r="V69" s="18" t="n">
        <f aca="false">IF(AND(ISNUMBER(I69),ISNUMBER(O69)),O69-I69,"")</f>
        <v>-11</v>
      </c>
      <c r="W69" s="22" t="s">
        <v>347</v>
      </c>
      <c r="X69" s="12" t="s">
        <v>343</v>
      </c>
      <c r="Y69" s="12" t="s">
        <v>348</v>
      </c>
    </row>
    <row r="70" customFormat="false" ht="15" hidden="false" customHeight="false" outlineLevel="0" collapsed="false">
      <c r="A70" s="20" t="s">
        <v>48</v>
      </c>
      <c r="B70" s="20" t="n">
        <v>2013</v>
      </c>
      <c r="C70" s="20" t="n">
        <v>3</v>
      </c>
      <c r="D70" s="21" t="s">
        <v>349</v>
      </c>
      <c r="E70" s="12" t="s">
        <v>350</v>
      </c>
      <c r="F70" s="11" t="s">
        <v>341</v>
      </c>
      <c r="G70" s="20" t="s">
        <v>29</v>
      </c>
      <c r="H70" s="20" t="n">
        <v>2013</v>
      </c>
      <c r="I70" s="21" t="n">
        <v>104</v>
      </c>
      <c r="J70" s="13" t="n">
        <v>0.243</v>
      </c>
      <c r="K70" s="13" t="n">
        <v>0.735</v>
      </c>
      <c r="L70" s="14"/>
      <c r="M70" s="15"/>
      <c r="N70" s="20" t="n">
        <v>2014</v>
      </c>
      <c r="O70" s="21" t="n">
        <v>123</v>
      </c>
      <c r="P70" s="13" t="n">
        <v>0.329</v>
      </c>
      <c r="Q70" s="13" t="n">
        <v>0.997</v>
      </c>
      <c r="R70" s="14"/>
      <c r="S70" s="15"/>
      <c r="T70" s="16" t="n">
        <f aca="false">IF(AND(ISNUMBER(K70),ISNUMBER(Q70)),Q70-K70,"")</f>
        <v>0.262</v>
      </c>
      <c r="U70" s="17" t="str">
        <f aca="false">IF(AND(ISNUMBER(L70),ISNUMBER(R70)),R70-L70,"")</f>
        <v/>
      </c>
      <c r="V70" s="18" t="n">
        <f aca="false">IF(AND(ISNUMBER(I70),ISNUMBER(O70)),O70-I70,"")</f>
        <v>19</v>
      </c>
      <c r="W70" s="22" t="s">
        <v>351</v>
      </c>
      <c r="X70" s="12" t="s">
        <v>343</v>
      </c>
      <c r="Y70" s="12" t="s">
        <v>352</v>
      </c>
    </row>
    <row r="71" customFormat="false" ht="15" hidden="false" customHeight="false" outlineLevel="0" collapsed="false">
      <c r="A71" s="7" t="s">
        <v>25</v>
      </c>
      <c r="B71" s="7" t="n">
        <v>2014</v>
      </c>
      <c r="C71" s="7" t="n">
        <v>1</v>
      </c>
      <c r="D71" s="8" t="s">
        <v>353</v>
      </c>
      <c r="E71" s="9" t="s">
        <v>354</v>
      </c>
      <c r="F71" s="10" t="s">
        <v>341</v>
      </c>
      <c r="G71" s="7" t="s">
        <v>29</v>
      </c>
      <c r="H71" s="20" t="n">
        <v>2014</v>
      </c>
      <c r="I71" s="21" t="n">
        <v>118</v>
      </c>
      <c r="J71" s="13" t="n">
        <v>0.298</v>
      </c>
      <c r="K71" s="13" t="n">
        <v>0.791</v>
      </c>
      <c r="L71" s="14"/>
      <c r="M71" s="15"/>
      <c r="N71" s="20" t="n">
        <v>2015</v>
      </c>
      <c r="O71" s="21" t="n">
        <v>141</v>
      </c>
      <c r="P71" s="13" t="n">
        <v>0.304</v>
      </c>
      <c r="Q71" s="13" t="n">
        <v>0.803</v>
      </c>
      <c r="R71" s="14"/>
      <c r="S71" s="15"/>
      <c r="T71" s="16" t="n">
        <f aca="false">IF(AND(ISNUMBER(K71),ISNUMBER(Q71)),Q71-K71,"")</f>
        <v>0.012</v>
      </c>
      <c r="U71" s="17" t="str">
        <f aca="false">IF(AND(ISNUMBER(L71),ISNUMBER(R71)),R71-L71,"")</f>
        <v/>
      </c>
      <c r="V71" s="18" t="n">
        <f aca="false">IF(AND(ISNUMBER(I71),ISNUMBER(O71)),O71-I71,"")</f>
        <v>23</v>
      </c>
      <c r="W71" s="22" t="s">
        <v>355</v>
      </c>
      <c r="X71" s="12" t="s">
        <v>356</v>
      </c>
      <c r="Y71" s="12" t="s">
        <v>357</v>
      </c>
    </row>
    <row r="72" customFormat="false" ht="15" hidden="false" customHeight="false" outlineLevel="0" collapsed="false">
      <c r="A72" s="20" t="s">
        <v>48</v>
      </c>
      <c r="B72" s="20" t="n">
        <v>2014</v>
      </c>
      <c r="C72" s="20" t="n">
        <v>2</v>
      </c>
      <c r="D72" s="21" t="s">
        <v>358</v>
      </c>
      <c r="E72" s="12" t="s">
        <v>359</v>
      </c>
      <c r="F72" s="20" t="s">
        <v>307</v>
      </c>
      <c r="G72" s="20" t="s">
        <v>34</v>
      </c>
      <c r="H72" s="20" t="n">
        <v>2014</v>
      </c>
      <c r="I72" s="21" t="n">
        <v>48</v>
      </c>
      <c r="J72" s="13"/>
      <c r="K72" s="13"/>
      <c r="L72" s="14" t="n">
        <v>2.47</v>
      </c>
      <c r="M72" s="15" t="n">
        <v>69.1</v>
      </c>
      <c r="N72" s="20" t="n">
        <v>2015</v>
      </c>
      <c r="O72" s="21" t="n">
        <v>70</v>
      </c>
      <c r="P72" s="13"/>
      <c r="Q72" s="13"/>
      <c r="R72" s="14" t="n">
        <v>3.09</v>
      </c>
      <c r="S72" s="15" t="n">
        <v>93.1</v>
      </c>
      <c r="T72" s="16" t="str">
        <f aca="false">IF(AND(ISNUMBER(K72),ISNUMBER(Q72)),Q72-K72,"")</f>
        <v/>
      </c>
      <c r="U72" s="17" t="n">
        <f aca="false">IF(AND(ISNUMBER(L72),ISNUMBER(R72)),R72-L72,"")</f>
        <v>0.62</v>
      </c>
      <c r="V72" s="18" t="n">
        <f aca="false">IF(AND(ISNUMBER(I72),ISNUMBER(O72)),O72-I72,"")</f>
        <v>22</v>
      </c>
      <c r="W72" s="22" t="s">
        <v>360</v>
      </c>
      <c r="X72" s="12" t="s">
        <v>356</v>
      </c>
      <c r="Y72" s="12" t="s">
        <v>361</v>
      </c>
    </row>
    <row r="73" customFormat="false" ht="15" hidden="false" customHeight="false" outlineLevel="0" collapsed="false">
      <c r="A73" s="20" t="s">
        <v>48</v>
      </c>
      <c r="B73" s="20" t="n">
        <v>2014</v>
      </c>
      <c r="C73" s="20" t="n">
        <v>3</v>
      </c>
      <c r="D73" s="21" t="s">
        <v>362</v>
      </c>
      <c r="E73" s="12" t="s">
        <v>363</v>
      </c>
      <c r="F73" s="20" t="s">
        <v>80</v>
      </c>
      <c r="G73" s="20" t="s">
        <v>29</v>
      </c>
      <c r="H73" s="20" t="n">
        <v>2014</v>
      </c>
      <c r="I73" s="21" t="n">
        <v>119</v>
      </c>
      <c r="J73" s="13" t="n">
        <v>0.297</v>
      </c>
      <c r="K73" s="13" t="n">
        <v>0.749</v>
      </c>
      <c r="L73" s="14"/>
      <c r="M73" s="15"/>
      <c r="N73" s="20" t="n">
        <v>2015</v>
      </c>
      <c r="O73" s="21" t="n">
        <v>144</v>
      </c>
      <c r="P73" s="13" t="n">
        <v>0.293</v>
      </c>
      <c r="Q73" s="13" t="n">
        <v>0.724</v>
      </c>
      <c r="R73" s="14"/>
      <c r="S73" s="15"/>
      <c r="T73" s="16" t="n">
        <f aca="false">IF(AND(ISNUMBER(K73),ISNUMBER(Q73)),Q73-K73,"")</f>
        <v>-0.025</v>
      </c>
      <c r="U73" s="17" t="str">
        <f aca="false">IF(AND(ISNUMBER(L73),ISNUMBER(R73)),R73-L73,"")</f>
        <v/>
      </c>
      <c r="V73" s="18" t="n">
        <f aca="false">IF(AND(ISNUMBER(I73),ISNUMBER(O73)),O73-I73,"")</f>
        <v>25</v>
      </c>
      <c r="W73" s="22" t="s">
        <v>364</v>
      </c>
      <c r="X73" s="12" t="s">
        <v>356</v>
      </c>
      <c r="Y73" s="12" t="s">
        <v>365</v>
      </c>
    </row>
    <row r="74" customFormat="false" ht="15" hidden="false" customHeight="false" outlineLevel="0" collapsed="false">
      <c r="A74" s="7" t="s">
        <v>25</v>
      </c>
      <c r="B74" s="7" t="n">
        <v>2015</v>
      </c>
      <c r="C74" s="7" t="n">
        <v>1</v>
      </c>
      <c r="D74" s="8" t="s">
        <v>366</v>
      </c>
      <c r="E74" s="9" t="s">
        <v>367</v>
      </c>
      <c r="F74" s="7" t="s">
        <v>80</v>
      </c>
      <c r="G74" s="7" t="s">
        <v>29</v>
      </c>
      <c r="H74" s="20" t="n">
        <v>2015</v>
      </c>
      <c r="I74" s="21" t="n">
        <v>116</v>
      </c>
      <c r="J74" s="13" t="n">
        <v>0.349</v>
      </c>
      <c r="K74" s="13" t="n">
        <v>0.951</v>
      </c>
      <c r="L74" s="14"/>
      <c r="M74" s="15"/>
      <c r="N74" s="20" t="n">
        <v>2016</v>
      </c>
      <c r="O74" s="21" t="n">
        <v>108</v>
      </c>
      <c r="P74" s="13" t="n">
        <v>0.344</v>
      </c>
      <c r="Q74" s="13" t="n">
        <v>0.967</v>
      </c>
      <c r="R74" s="14"/>
      <c r="S74" s="15"/>
      <c r="T74" s="16" t="n">
        <f aca="false">IF(AND(ISNUMBER(K74),ISNUMBER(Q74)),Q74-K74,"")</f>
        <v>0.016</v>
      </c>
      <c r="U74" s="17" t="str">
        <f aca="false">IF(AND(ISNUMBER(L74),ISNUMBER(R74)),R74-L74,"")</f>
        <v/>
      </c>
      <c r="V74" s="18" t="n">
        <f aca="false">IF(AND(ISNUMBER(I74),ISNUMBER(O74)),O74-I74,"")</f>
        <v>-8</v>
      </c>
      <c r="W74" s="22" t="s">
        <v>368</v>
      </c>
      <c r="X74" s="12" t="s">
        <v>369</v>
      </c>
      <c r="Y74" s="12" t="s">
        <v>370</v>
      </c>
    </row>
    <row r="75" customFormat="false" ht="15" hidden="false" customHeight="false" outlineLevel="0" collapsed="false">
      <c r="A75" s="20" t="s">
        <v>48</v>
      </c>
      <c r="B75" s="20" t="n">
        <v>2015</v>
      </c>
      <c r="C75" s="20" t="n">
        <v>2</v>
      </c>
      <c r="D75" s="21" t="s">
        <v>371</v>
      </c>
      <c r="E75" s="12" t="s">
        <v>372</v>
      </c>
      <c r="F75" s="20" t="s">
        <v>307</v>
      </c>
      <c r="G75" s="20" t="s">
        <v>29</v>
      </c>
      <c r="H75" s="20" t="n">
        <v>2015</v>
      </c>
      <c r="I75" s="21" t="n">
        <v>140</v>
      </c>
      <c r="J75" s="13" t="n">
        <v>0.29</v>
      </c>
      <c r="K75" s="13" t="n">
        <v>0.851</v>
      </c>
      <c r="L75" s="14"/>
      <c r="M75" s="15"/>
      <c r="N75" s="20" t="n">
        <v>2016</v>
      </c>
      <c r="O75" s="21" t="n">
        <v>144</v>
      </c>
      <c r="P75" s="13" t="n">
        <v>0.281</v>
      </c>
      <c r="Q75" s="13" t="n">
        <v>0.836</v>
      </c>
      <c r="R75" s="14"/>
      <c r="S75" s="15"/>
      <c r="T75" s="16" t="n">
        <f aca="false">IF(AND(ISNUMBER(K75),ISNUMBER(Q75)),Q75-K75,"")</f>
        <v>-0.015</v>
      </c>
      <c r="U75" s="17" t="str">
        <f aca="false">IF(AND(ISNUMBER(L75),ISNUMBER(R75)),R75-L75,"")</f>
        <v/>
      </c>
      <c r="V75" s="18" t="n">
        <f aca="false">IF(AND(ISNUMBER(I75),ISNUMBER(O75)),O75-I75,"")</f>
        <v>4</v>
      </c>
      <c r="W75" s="22" t="s">
        <v>373</v>
      </c>
      <c r="X75" s="12" t="s">
        <v>369</v>
      </c>
      <c r="Y75" s="12" t="s">
        <v>374</v>
      </c>
    </row>
    <row r="76" customFormat="false" ht="15" hidden="false" customHeight="false" outlineLevel="0" collapsed="false">
      <c r="A76" s="20" t="s">
        <v>48</v>
      </c>
      <c r="B76" s="20" t="n">
        <v>2015</v>
      </c>
      <c r="C76" s="20" t="n">
        <v>3</v>
      </c>
      <c r="D76" s="21" t="s">
        <v>375</v>
      </c>
      <c r="E76" s="12" t="s">
        <v>376</v>
      </c>
      <c r="F76" s="11" t="s">
        <v>377</v>
      </c>
      <c r="G76" s="20" t="s">
        <v>34</v>
      </c>
      <c r="H76" s="20" t="n">
        <v>2015</v>
      </c>
      <c r="I76" s="21" t="n">
        <v>43</v>
      </c>
      <c r="J76" s="13"/>
      <c r="K76" s="13"/>
      <c r="L76" s="14" t="n">
        <v>1.88</v>
      </c>
      <c r="M76" s="15" t="n">
        <v>71.2</v>
      </c>
      <c r="N76" s="20" t="n">
        <v>2016</v>
      </c>
      <c r="O76" s="21" t="n">
        <v>38</v>
      </c>
      <c r="P76" s="13"/>
      <c r="Q76" s="13"/>
      <c r="R76" s="14" t="n">
        <v>8.61</v>
      </c>
      <c r="S76" s="15" t="n">
        <v>38.2</v>
      </c>
      <c r="T76" s="16" t="str">
        <f aca="false">IF(AND(ISNUMBER(K76),ISNUMBER(Q76)),Q76-K76,"")</f>
        <v/>
      </c>
      <c r="U76" s="17" t="n">
        <f aca="false">IF(AND(ISNUMBER(L76),ISNUMBER(R76)),R76-L76,"")</f>
        <v>6.73</v>
      </c>
      <c r="V76" s="18" t="n">
        <f aca="false">IF(AND(ISNUMBER(I76),ISNUMBER(O76)),O76-I76,"")</f>
        <v>-5</v>
      </c>
      <c r="W76" s="22" t="s">
        <v>378</v>
      </c>
      <c r="X76" s="12" t="s">
        <v>369</v>
      </c>
      <c r="Y76" s="12" t="s">
        <v>379</v>
      </c>
    </row>
    <row r="77" customFormat="false" ht="15" hidden="false" customHeight="false" outlineLevel="0" collapsed="false">
      <c r="A77" s="7" t="s">
        <v>25</v>
      </c>
      <c r="B77" s="7" t="n">
        <v>2016</v>
      </c>
      <c r="C77" s="7" t="n">
        <v>1</v>
      </c>
      <c r="D77" s="8" t="s">
        <v>380</v>
      </c>
      <c r="E77" s="9" t="s">
        <v>381</v>
      </c>
      <c r="F77" s="7" t="s">
        <v>307</v>
      </c>
      <c r="G77" s="7" t="s">
        <v>34</v>
      </c>
      <c r="H77" s="20" t="n">
        <v>2016</v>
      </c>
      <c r="I77" s="21" t="n">
        <v>30</v>
      </c>
      <c r="J77" s="13"/>
      <c r="K77" s="13"/>
      <c r="L77" s="14" t="n">
        <v>3.9</v>
      </c>
      <c r="M77" s="15" t="n">
        <v>168.2</v>
      </c>
      <c r="N77" s="20" t="n">
        <v>2017</v>
      </c>
      <c r="O77" s="21" t="n">
        <v>34</v>
      </c>
      <c r="P77" s="13"/>
      <c r="Q77" s="13"/>
      <c r="R77" s="14" t="n">
        <v>4.54</v>
      </c>
      <c r="S77" s="15" t="n">
        <v>125</v>
      </c>
      <c r="T77" s="16" t="str">
        <f aca="false">IF(AND(ISNUMBER(K77),ISNUMBER(Q77)),Q77-K77,"")</f>
        <v/>
      </c>
      <c r="U77" s="17" t="n">
        <f aca="false">IF(AND(ISNUMBER(L77),ISNUMBER(R77)),R77-L77,"")</f>
        <v>0.64</v>
      </c>
      <c r="V77" s="18" t="n">
        <f aca="false">IF(AND(ISNUMBER(I77),ISNUMBER(O77)),O77-I77,"")</f>
        <v>4</v>
      </c>
      <c r="W77" s="22" t="s">
        <v>382</v>
      </c>
      <c r="X77" s="12" t="s">
        <v>383</v>
      </c>
      <c r="Y77" s="12" t="s">
        <v>384</v>
      </c>
    </row>
    <row r="78" customFormat="false" ht="15" hidden="false" customHeight="false" outlineLevel="0" collapsed="false">
      <c r="A78" s="20" t="s">
        <v>48</v>
      </c>
      <c r="B78" s="20" t="n">
        <v>2016</v>
      </c>
      <c r="C78" s="20" t="n">
        <v>2</v>
      </c>
      <c r="D78" s="21" t="s">
        <v>385</v>
      </c>
      <c r="E78" s="12" t="s">
        <v>386</v>
      </c>
      <c r="F78" s="11" t="s">
        <v>377</v>
      </c>
      <c r="G78" s="20" t="s">
        <v>34</v>
      </c>
      <c r="H78" s="20" t="n">
        <v>2016</v>
      </c>
      <c r="I78" s="21" t="n">
        <v>28</v>
      </c>
      <c r="J78" s="13"/>
      <c r="K78" s="13"/>
      <c r="L78" s="14" t="n">
        <v>5.1</v>
      </c>
      <c r="M78" s="15" t="n">
        <v>134</v>
      </c>
      <c r="N78" s="20" t="n">
        <v>2017</v>
      </c>
      <c r="O78" s="21" t="n">
        <v>39</v>
      </c>
      <c r="P78" s="13"/>
      <c r="Q78" s="13"/>
      <c r="R78" s="14" t="n">
        <v>6.61</v>
      </c>
      <c r="S78" s="15" t="n">
        <v>81.2</v>
      </c>
      <c r="T78" s="16" t="str">
        <f aca="false">IF(AND(ISNUMBER(K78),ISNUMBER(Q78)),Q78-K78,"")</f>
        <v/>
      </c>
      <c r="U78" s="17" t="n">
        <f aca="false">IF(AND(ISNUMBER(L78),ISNUMBER(R78)),R78-L78,"")</f>
        <v>1.51</v>
      </c>
      <c r="V78" s="18" t="n">
        <f aca="false">IF(AND(ISNUMBER(I78),ISNUMBER(O78)),O78-I78,"")</f>
        <v>11</v>
      </c>
      <c r="W78" s="22" t="s">
        <v>387</v>
      </c>
      <c r="X78" s="12" t="s">
        <v>383</v>
      </c>
      <c r="Y78" s="12" t="s">
        <v>388</v>
      </c>
    </row>
    <row r="79" customFormat="false" ht="15" hidden="false" customHeight="false" outlineLevel="0" collapsed="false">
      <c r="A79" s="20" t="s">
        <v>48</v>
      </c>
      <c r="B79" s="20" t="n">
        <v>2016</v>
      </c>
      <c r="C79" s="20" t="n">
        <v>3</v>
      </c>
      <c r="D79" s="21" t="s">
        <v>389</v>
      </c>
      <c r="E79" s="12" t="s">
        <v>390</v>
      </c>
      <c r="F79" s="20" t="s">
        <v>307</v>
      </c>
      <c r="G79" s="20" t="s">
        <v>34</v>
      </c>
      <c r="H79" s="20" t="n">
        <v>2016</v>
      </c>
      <c r="I79" s="21" t="n">
        <v>30</v>
      </c>
      <c r="J79" s="13"/>
      <c r="K79" s="13"/>
      <c r="L79" s="14" t="n">
        <v>6.35</v>
      </c>
      <c r="M79" s="15" t="n">
        <v>119</v>
      </c>
      <c r="N79" s="20" t="n">
        <v>2017</v>
      </c>
      <c r="O79" s="21" t="n">
        <v>2</v>
      </c>
      <c r="P79" s="13"/>
      <c r="Q79" s="13"/>
      <c r="R79" s="14" t="n">
        <v>34.71</v>
      </c>
      <c r="S79" s="15" t="n">
        <v>2.1</v>
      </c>
      <c r="T79" s="16" t="str">
        <f aca="false">IF(AND(ISNUMBER(K79),ISNUMBER(Q79)),Q79-K79,"")</f>
        <v/>
      </c>
      <c r="U79" s="17" t="n">
        <f aca="false">IF(AND(ISNUMBER(L79),ISNUMBER(R79)),R79-L79,"")</f>
        <v>28.36</v>
      </c>
      <c r="V79" s="18" t="n">
        <f aca="false">IF(AND(ISNUMBER(I79),ISNUMBER(O79)),O79-I79,"")</f>
        <v>-28</v>
      </c>
      <c r="W79" s="22" t="s">
        <v>391</v>
      </c>
      <c r="X79" s="12" t="s">
        <v>383</v>
      </c>
      <c r="Y79" s="12" t="s">
        <v>392</v>
      </c>
    </row>
    <row r="80" customFormat="false" ht="15" hidden="false" customHeight="false" outlineLevel="0" collapsed="false">
      <c r="A80" s="7" t="s">
        <v>25</v>
      </c>
      <c r="B80" s="7" t="n">
        <v>2017</v>
      </c>
      <c r="C80" s="7" t="n">
        <v>1</v>
      </c>
      <c r="D80" s="8" t="s">
        <v>393</v>
      </c>
      <c r="E80" s="9" t="s">
        <v>394</v>
      </c>
      <c r="F80" s="7" t="s">
        <v>307</v>
      </c>
      <c r="G80" s="7" t="s">
        <v>29</v>
      </c>
      <c r="H80" s="20" t="n">
        <v>2017</v>
      </c>
      <c r="I80" s="21" t="n">
        <v>144</v>
      </c>
      <c r="J80" s="13" t="n">
        <v>0.324</v>
      </c>
      <c r="K80" s="13" t="n">
        <v>0.812</v>
      </c>
      <c r="L80" s="14"/>
      <c r="M80" s="15"/>
      <c r="N80" s="20" t="n">
        <v>2018</v>
      </c>
      <c r="O80" s="21" t="n">
        <v>109</v>
      </c>
      <c r="P80" s="13" t="n">
        <v>0.355</v>
      </c>
      <c r="Q80" s="13" t="n">
        <v>0.889</v>
      </c>
      <c r="R80" s="14"/>
      <c r="S80" s="15"/>
      <c r="T80" s="16" t="n">
        <f aca="false">IF(AND(ISNUMBER(K80),ISNUMBER(Q80)),Q80-K80,"")</f>
        <v>0.077</v>
      </c>
      <c r="U80" s="17" t="str">
        <f aca="false">IF(AND(ISNUMBER(L80),ISNUMBER(R80)),R80-L80,"")</f>
        <v/>
      </c>
      <c r="V80" s="18" t="n">
        <f aca="false">IF(AND(ISNUMBER(I80),ISNUMBER(O80)),O80-I80,"")</f>
        <v>-35</v>
      </c>
      <c r="W80" s="22" t="s">
        <v>395</v>
      </c>
      <c r="X80" s="12" t="s">
        <v>396</v>
      </c>
      <c r="Y80" s="12" t="s">
        <v>397</v>
      </c>
    </row>
    <row r="81" customFormat="false" ht="15" hidden="false" customHeight="false" outlineLevel="0" collapsed="false">
      <c r="A81" s="20" t="s">
        <v>48</v>
      </c>
      <c r="B81" s="20" t="n">
        <v>2017</v>
      </c>
      <c r="C81" s="20" t="n">
        <v>2</v>
      </c>
      <c r="D81" s="21" t="s">
        <v>398</v>
      </c>
      <c r="E81" s="12" t="s">
        <v>399</v>
      </c>
      <c r="F81" s="20" t="s">
        <v>109</v>
      </c>
      <c r="G81" s="20" t="s">
        <v>34</v>
      </c>
      <c r="H81" s="20" t="n">
        <v>2017</v>
      </c>
      <c r="I81" s="21" t="n">
        <v>24</v>
      </c>
      <c r="J81" s="13"/>
      <c r="K81" s="13"/>
      <c r="L81" s="14" t="n">
        <v>5.7</v>
      </c>
      <c r="M81" s="15" t="n">
        <v>107.1</v>
      </c>
      <c r="N81" s="20" t="n">
        <v>2018</v>
      </c>
      <c r="O81" s="21" t="n">
        <v>30</v>
      </c>
      <c r="P81" s="13"/>
      <c r="Q81" s="13"/>
      <c r="R81" s="14" t="n">
        <v>6.94</v>
      </c>
      <c r="S81" s="15" t="n">
        <v>145.1</v>
      </c>
      <c r="T81" s="16" t="str">
        <f aca="false">IF(AND(ISNUMBER(K81),ISNUMBER(Q81)),Q81-K81,"")</f>
        <v/>
      </c>
      <c r="U81" s="17" t="n">
        <f aca="false">IF(AND(ISNUMBER(L81),ISNUMBER(R81)),R81-L81,"")</f>
        <v>1.24</v>
      </c>
      <c r="V81" s="18" t="n">
        <f aca="false">IF(AND(ISNUMBER(I81),ISNUMBER(O81)),O81-I81,"")</f>
        <v>6</v>
      </c>
      <c r="W81" s="22" t="s">
        <v>400</v>
      </c>
      <c r="X81" s="12" t="s">
        <v>401</v>
      </c>
      <c r="Y81" s="12" t="s">
        <v>402</v>
      </c>
    </row>
    <row r="82" customFormat="false" ht="15" hidden="false" customHeight="false" outlineLevel="0" collapsed="false">
      <c r="A82" s="20" t="s">
        <v>48</v>
      </c>
      <c r="B82" s="20" t="n">
        <v>2017</v>
      </c>
      <c r="C82" s="20" t="n">
        <v>3</v>
      </c>
      <c r="D82" s="21" t="s">
        <v>403</v>
      </c>
      <c r="E82" s="12" t="s">
        <v>404</v>
      </c>
      <c r="F82" s="11" t="s">
        <v>377</v>
      </c>
      <c r="G82" s="20" t="s">
        <v>29</v>
      </c>
      <c r="H82" s="20" t="n">
        <v>2017</v>
      </c>
      <c r="I82" s="21" t="n">
        <v>124</v>
      </c>
      <c r="J82" s="13" t="n">
        <v>0.3</v>
      </c>
      <c r="K82" s="13" t="n">
        <v>0.795</v>
      </c>
      <c r="L82" s="14"/>
      <c r="M82" s="15"/>
      <c r="N82" s="20" t="n">
        <v>2018</v>
      </c>
      <c r="O82" s="21" t="n">
        <v>65</v>
      </c>
      <c r="P82" s="13" t="n">
        <v>0.265</v>
      </c>
      <c r="Q82" s="13" t="n">
        <v>0.694</v>
      </c>
      <c r="R82" s="14"/>
      <c r="S82" s="15"/>
      <c r="T82" s="16" t="n">
        <f aca="false">IF(AND(ISNUMBER(K82),ISNUMBER(Q82)),Q82-K82,"")</f>
        <v>-0.101</v>
      </c>
      <c r="U82" s="17" t="str">
        <f aca="false">IF(AND(ISNUMBER(L82),ISNUMBER(R82)),R82-L82,"")</f>
        <v/>
      </c>
      <c r="V82" s="18" t="n">
        <f aca="false">IF(AND(ISNUMBER(I82),ISNUMBER(O82)),O82-I82,"")</f>
        <v>-59</v>
      </c>
      <c r="W82" s="22" t="s">
        <v>405</v>
      </c>
      <c r="X82" s="12" t="s">
        <v>401</v>
      </c>
      <c r="Y82" s="12" t="s">
        <v>406</v>
      </c>
    </row>
    <row r="83" customFormat="false" ht="15" hidden="false" customHeight="false" outlineLevel="0" collapsed="false">
      <c r="A83" s="7" t="s">
        <v>25</v>
      </c>
      <c r="B83" s="7" t="n">
        <v>2018</v>
      </c>
      <c r="C83" s="7" t="n">
        <v>1</v>
      </c>
      <c r="D83" s="8" t="s">
        <v>407</v>
      </c>
      <c r="E83" s="9" t="s">
        <v>408</v>
      </c>
      <c r="F83" s="10" t="s">
        <v>377</v>
      </c>
      <c r="G83" s="7" t="s">
        <v>29</v>
      </c>
      <c r="H83" s="20" t="n">
        <v>2018</v>
      </c>
      <c r="I83" s="21" t="n">
        <v>138</v>
      </c>
      <c r="J83" s="13" t="n">
        <v>0.29</v>
      </c>
      <c r="K83" s="13" t="n">
        <v>0.879</v>
      </c>
      <c r="L83" s="14"/>
      <c r="M83" s="15"/>
      <c r="N83" s="20" t="n">
        <v>2019</v>
      </c>
      <c r="O83" s="21" t="n">
        <v>116</v>
      </c>
      <c r="P83" s="13" t="n">
        <v>0.336</v>
      </c>
      <c r="Q83" s="13" t="n">
        <v>0.911</v>
      </c>
      <c r="R83" s="14"/>
      <c r="S83" s="15"/>
      <c r="T83" s="16" t="n">
        <f aca="false">IF(AND(ISNUMBER(K83),ISNUMBER(Q83)),Q83-K83,"")</f>
        <v>0.032</v>
      </c>
      <c r="U83" s="17" t="str">
        <f aca="false">IF(AND(ISNUMBER(L83),ISNUMBER(R83)),R83-L83,"")</f>
        <v/>
      </c>
      <c r="V83" s="18" t="n">
        <f aca="false">IF(AND(ISNUMBER(I83),ISNUMBER(O83)),O83-I83,"")</f>
        <v>-22</v>
      </c>
      <c r="W83" s="22" t="s">
        <v>409</v>
      </c>
      <c r="X83" s="12" t="s">
        <v>410</v>
      </c>
      <c r="Y83" s="12" t="s">
        <v>411</v>
      </c>
    </row>
    <row r="84" customFormat="false" ht="15" hidden="false" customHeight="false" outlineLevel="0" collapsed="false">
      <c r="A84" s="20" t="s">
        <v>48</v>
      </c>
      <c r="B84" s="20" t="n">
        <v>2018</v>
      </c>
      <c r="C84" s="20" t="n">
        <v>2</v>
      </c>
      <c r="D84" s="21" t="s">
        <v>412</v>
      </c>
      <c r="E84" s="12" t="s">
        <v>413</v>
      </c>
      <c r="F84" s="20" t="s">
        <v>307</v>
      </c>
      <c r="G84" s="20" t="s">
        <v>29</v>
      </c>
      <c r="H84" s="20" t="n">
        <v>2018</v>
      </c>
      <c r="I84" s="21" t="n">
        <v>136</v>
      </c>
      <c r="J84" s="13" t="n">
        <v>0.27</v>
      </c>
      <c r="K84" s="13" t="n">
        <v>0.695</v>
      </c>
      <c r="L84" s="14"/>
      <c r="M84" s="15"/>
      <c r="N84" s="20" t="n">
        <v>2019</v>
      </c>
      <c r="O84" s="21" t="n">
        <v>122</v>
      </c>
      <c r="P84" s="13" t="n">
        <v>0.276</v>
      </c>
      <c r="Q84" s="13" t="n">
        <v>0.694</v>
      </c>
      <c r="R84" s="14"/>
      <c r="S84" s="15"/>
      <c r="T84" s="16" t="n">
        <f aca="false">IF(AND(ISNUMBER(K84),ISNUMBER(Q84)),Q84-K84,"")</f>
        <v>-0.001</v>
      </c>
      <c r="U84" s="17" t="str">
        <f aca="false">IF(AND(ISNUMBER(L84),ISNUMBER(R84)),R84-L84,"")</f>
        <v/>
      </c>
      <c r="V84" s="18" t="n">
        <f aca="false">IF(AND(ISNUMBER(I84),ISNUMBER(O84)),O84-I84,"")</f>
        <v>-14</v>
      </c>
      <c r="W84" s="22" t="s">
        <v>414</v>
      </c>
      <c r="X84" s="12" t="s">
        <v>410</v>
      </c>
      <c r="Y84" s="12" t="s">
        <v>415</v>
      </c>
    </row>
    <row r="85" customFormat="false" ht="29.85" hidden="false" customHeight="false" outlineLevel="0" collapsed="false">
      <c r="A85" s="20" t="s">
        <v>48</v>
      </c>
      <c r="B85" s="20" t="n">
        <v>2018</v>
      </c>
      <c r="C85" s="20" t="n">
        <v>3</v>
      </c>
      <c r="D85" s="21" t="s">
        <v>416</v>
      </c>
      <c r="E85" s="12" t="s">
        <v>417</v>
      </c>
      <c r="F85" s="20" t="s">
        <v>80</v>
      </c>
      <c r="G85" s="20" t="s">
        <v>34</v>
      </c>
      <c r="H85" s="20" t="n">
        <v>2018</v>
      </c>
      <c r="I85" s="21" t="n">
        <v>19</v>
      </c>
      <c r="J85" s="13"/>
      <c r="K85" s="13"/>
      <c r="L85" s="14" t="n">
        <v>5.05</v>
      </c>
      <c r="M85" s="15" t="n">
        <v>87.1</v>
      </c>
      <c r="N85" s="20" t="n">
        <v>2019</v>
      </c>
      <c r="O85" s="21"/>
      <c r="P85" s="13"/>
      <c r="Q85" s="13"/>
      <c r="R85" s="14"/>
      <c r="S85" s="15"/>
      <c r="T85" s="16" t="str">
        <f aca="false">IF(AND(ISNUMBER(K85),ISNUMBER(Q85)),Q85-K85,"")</f>
        <v/>
      </c>
      <c r="U85" s="17" t="str">
        <f aca="false">IF(AND(ISNUMBER(L85),ISNUMBER(R85)),R85-L85,"")</f>
        <v/>
      </c>
      <c r="V85" s="18" t="str">
        <f aca="false">IF(AND(ISNUMBER(I85),ISNUMBER(O85)),O85-I85,"")</f>
        <v/>
      </c>
      <c r="W85" s="22" t="s">
        <v>418</v>
      </c>
      <c r="X85" s="12" t="s">
        <v>419</v>
      </c>
      <c r="Y85" s="12" t="s">
        <v>420</v>
      </c>
    </row>
    <row r="86" customFormat="false" ht="15" hidden="false" customHeight="false" outlineLevel="0" collapsed="false">
      <c r="A86" s="7" t="s">
        <v>25</v>
      </c>
      <c r="B86" s="7" t="n">
        <v>2019</v>
      </c>
      <c r="C86" s="7" t="n">
        <v>1</v>
      </c>
      <c r="D86" s="8" t="s">
        <v>421</v>
      </c>
      <c r="E86" s="9" t="s">
        <v>422</v>
      </c>
      <c r="F86" s="10" t="s">
        <v>89</v>
      </c>
      <c r="G86" s="7" t="s">
        <v>34</v>
      </c>
      <c r="H86" s="20" t="n">
        <v>2019</v>
      </c>
      <c r="I86" s="21" t="n">
        <v>56</v>
      </c>
      <c r="J86" s="13"/>
      <c r="K86" s="13"/>
      <c r="L86" s="14" t="n">
        <v>3.72</v>
      </c>
      <c r="M86" s="15" t="n">
        <v>65.1</v>
      </c>
      <c r="N86" s="20" t="n">
        <v>2020</v>
      </c>
      <c r="O86" s="21" t="n">
        <v>65</v>
      </c>
      <c r="P86" s="13"/>
      <c r="Q86" s="13"/>
      <c r="R86" s="14" t="n">
        <v>3.12</v>
      </c>
      <c r="S86" s="15" t="n">
        <v>75</v>
      </c>
      <c r="T86" s="16" t="str">
        <f aca="false">IF(AND(ISNUMBER(K86),ISNUMBER(Q86)),Q86-K86,"")</f>
        <v/>
      </c>
      <c r="U86" s="17" t="n">
        <f aca="false">IF(AND(ISNUMBER(L86),ISNUMBER(R86)),R86-L86,"")</f>
        <v>-0.6</v>
      </c>
      <c r="V86" s="18" t="n">
        <f aca="false">IF(AND(ISNUMBER(I86),ISNUMBER(O86)),O86-I86,"")</f>
        <v>9</v>
      </c>
      <c r="W86" s="22" t="s">
        <v>423</v>
      </c>
      <c r="X86" s="12" t="s">
        <v>424</v>
      </c>
      <c r="Y86" s="12" t="s">
        <v>425</v>
      </c>
    </row>
    <row r="87" customFormat="false" ht="15" hidden="false" customHeight="false" outlineLevel="0" collapsed="false">
      <c r="A87" s="20" t="s">
        <v>48</v>
      </c>
      <c r="B87" s="20" t="n">
        <v>2019</v>
      </c>
      <c r="C87" s="20" t="n">
        <v>2</v>
      </c>
      <c r="D87" s="21" t="s">
        <v>426</v>
      </c>
      <c r="E87" s="12" t="s">
        <v>427</v>
      </c>
      <c r="F87" s="11" t="s">
        <v>212</v>
      </c>
      <c r="G87" s="20" t="s">
        <v>29</v>
      </c>
      <c r="H87" s="20" t="n">
        <v>2019</v>
      </c>
      <c r="I87" s="21" t="n">
        <v>133</v>
      </c>
      <c r="J87" s="13" t="n">
        <v>0.27</v>
      </c>
      <c r="K87" s="13" t="n">
        <v>0.745</v>
      </c>
      <c r="L87" s="14"/>
      <c r="M87" s="15"/>
      <c r="N87" s="20" t="n">
        <v>2020</v>
      </c>
      <c r="O87" s="21" t="n">
        <v>22</v>
      </c>
      <c r="P87" s="13" t="n">
        <v>0.33</v>
      </c>
      <c r="Q87" s="13" t="n">
        <v>0.847</v>
      </c>
      <c r="R87" s="14"/>
      <c r="S87" s="15"/>
      <c r="T87" s="16" t="n">
        <f aca="false">IF(AND(ISNUMBER(K87),ISNUMBER(Q87)),Q87-K87,"")</f>
        <v>0.102</v>
      </c>
      <c r="U87" s="17" t="str">
        <f aca="false">IF(AND(ISNUMBER(L87),ISNUMBER(R87)),R87-L87,"")</f>
        <v/>
      </c>
      <c r="V87" s="18" t="n">
        <f aca="false">IF(AND(ISNUMBER(I87),ISNUMBER(O87)),O87-I87,"")</f>
        <v>-111</v>
      </c>
      <c r="W87" s="22" t="s">
        <v>428</v>
      </c>
      <c r="X87" s="12" t="s">
        <v>424</v>
      </c>
      <c r="Y87" s="12" t="s">
        <v>429</v>
      </c>
    </row>
    <row r="88" customFormat="false" ht="15" hidden="false" customHeight="false" outlineLevel="0" collapsed="false">
      <c r="A88" s="20" t="s">
        <v>48</v>
      </c>
      <c r="B88" s="20" t="n">
        <v>2019</v>
      </c>
      <c r="C88" s="20" t="n">
        <v>3</v>
      </c>
      <c r="D88" s="21" t="s">
        <v>430</v>
      </c>
      <c r="E88" s="12" t="s">
        <v>431</v>
      </c>
      <c r="F88" s="11" t="s">
        <v>212</v>
      </c>
      <c r="G88" s="20" t="s">
        <v>34</v>
      </c>
      <c r="H88" s="20" t="n">
        <v>2019</v>
      </c>
      <c r="I88" s="21" t="n">
        <v>57</v>
      </c>
      <c r="J88" s="13"/>
      <c r="K88" s="13"/>
      <c r="L88" s="14" t="n">
        <v>3.12</v>
      </c>
      <c r="M88" s="15" t="n">
        <v>60.2</v>
      </c>
      <c r="N88" s="20" t="n">
        <v>2020</v>
      </c>
      <c r="O88" s="21" t="n">
        <v>47</v>
      </c>
      <c r="P88" s="13"/>
      <c r="Q88" s="13"/>
      <c r="R88" s="14" t="n">
        <v>2.45</v>
      </c>
      <c r="S88" s="15" t="n">
        <v>47.2</v>
      </c>
      <c r="T88" s="16" t="str">
        <f aca="false">IF(AND(ISNUMBER(K88),ISNUMBER(Q88)),Q88-K88,"")</f>
        <v/>
      </c>
      <c r="U88" s="17" t="n">
        <f aca="false">IF(AND(ISNUMBER(L88),ISNUMBER(R88)),R88-L88,"")</f>
        <v>-0.67</v>
      </c>
      <c r="V88" s="18" t="n">
        <f aca="false">IF(AND(ISNUMBER(I88),ISNUMBER(O88)),O88-I88,"")</f>
        <v>-10</v>
      </c>
      <c r="W88" s="22" t="s">
        <v>432</v>
      </c>
      <c r="X88" s="12" t="s">
        <v>424</v>
      </c>
      <c r="Y88" s="12" t="s">
        <v>433</v>
      </c>
    </row>
    <row r="89" customFormat="false" ht="15" hidden="false" customHeight="false" outlineLevel="0" collapsed="false">
      <c r="A89" s="7" t="s">
        <v>25</v>
      </c>
      <c r="B89" s="7" t="n">
        <v>2020</v>
      </c>
      <c r="C89" s="7" t="n">
        <v>1</v>
      </c>
      <c r="D89" s="8" t="s">
        <v>434</v>
      </c>
      <c r="E89" s="9" t="s">
        <v>435</v>
      </c>
      <c r="F89" s="10" t="s">
        <v>377</v>
      </c>
      <c r="G89" s="7" t="s">
        <v>34</v>
      </c>
      <c r="H89" s="20" t="n">
        <v>2020</v>
      </c>
      <c r="I89" s="21" t="n">
        <v>26</v>
      </c>
      <c r="J89" s="13"/>
      <c r="K89" s="13"/>
      <c r="L89" s="14" t="n">
        <v>3.86</v>
      </c>
      <c r="M89" s="15" t="n">
        <v>133</v>
      </c>
      <c r="N89" s="20" t="n">
        <v>2021</v>
      </c>
      <c r="O89" s="21" t="n">
        <v>24</v>
      </c>
      <c r="P89" s="13"/>
      <c r="Q89" s="13"/>
      <c r="R89" s="14" t="n">
        <v>4.16</v>
      </c>
      <c r="S89" s="15" t="n">
        <v>119</v>
      </c>
      <c r="T89" s="16" t="str">
        <f aca="false">IF(AND(ISNUMBER(K89),ISNUMBER(Q89)),Q89-K89,"")</f>
        <v/>
      </c>
      <c r="U89" s="17" t="n">
        <f aca="false">IF(AND(ISNUMBER(L89),ISNUMBER(R89)),R89-L89,"")</f>
        <v>0.3</v>
      </c>
      <c r="V89" s="18" t="n">
        <f aca="false">IF(AND(ISNUMBER(I89),ISNUMBER(O89)),O89-I89,"")</f>
        <v>-2</v>
      </c>
      <c r="W89" s="19" t="s">
        <v>436</v>
      </c>
      <c r="X89" s="12" t="s">
        <v>437</v>
      </c>
      <c r="Y89" s="12" t="s">
        <v>438</v>
      </c>
    </row>
    <row r="90" customFormat="false" ht="15" hidden="false" customHeight="false" outlineLevel="0" collapsed="false">
      <c r="A90" s="20" t="s">
        <v>48</v>
      </c>
      <c r="B90" s="20" t="n">
        <v>2020</v>
      </c>
      <c r="C90" s="20" t="n">
        <v>2</v>
      </c>
      <c r="D90" s="21" t="s">
        <v>439</v>
      </c>
      <c r="E90" s="12" t="s">
        <v>440</v>
      </c>
      <c r="F90" s="11" t="s">
        <v>89</v>
      </c>
      <c r="G90" s="20" t="s">
        <v>29</v>
      </c>
      <c r="H90" s="20" t="n">
        <v>2020</v>
      </c>
      <c r="I90" s="21" t="n">
        <v>135</v>
      </c>
      <c r="J90" s="13" t="n">
        <v>0.279</v>
      </c>
      <c r="K90" s="13" t="n">
        <v>0.827</v>
      </c>
      <c r="L90" s="14"/>
      <c r="M90" s="15"/>
      <c r="N90" s="20" t="n">
        <v>2021</v>
      </c>
      <c r="O90" s="21" t="n">
        <v>144</v>
      </c>
      <c r="P90" s="13" t="n">
        <v>0.328</v>
      </c>
      <c r="Q90" s="13" t="n">
        <v>0.865</v>
      </c>
      <c r="R90" s="14"/>
      <c r="S90" s="15"/>
      <c r="T90" s="16" t="n">
        <f aca="false">IF(AND(ISNUMBER(K90),ISNUMBER(Q90)),Q90-K90,"")</f>
        <v>0.038</v>
      </c>
      <c r="U90" s="17" t="str">
        <f aca="false">IF(AND(ISNUMBER(L90),ISNUMBER(R90)),R90-L90,"")</f>
        <v/>
      </c>
      <c r="V90" s="18" t="n">
        <f aca="false">IF(AND(ISNUMBER(I90),ISNUMBER(O90)),O90-I90,"")</f>
        <v>9</v>
      </c>
      <c r="W90" s="19" t="s">
        <v>441</v>
      </c>
      <c r="X90" s="12" t="s">
        <v>437</v>
      </c>
      <c r="Y90" s="12" t="s">
        <v>442</v>
      </c>
    </row>
    <row r="91" customFormat="false" ht="15" hidden="false" customHeight="false" outlineLevel="0" collapsed="false">
      <c r="A91" s="20" t="s">
        <v>48</v>
      </c>
      <c r="B91" s="20" t="n">
        <v>2020</v>
      </c>
      <c r="C91" s="20" t="n">
        <v>3</v>
      </c>
      <c r="D91" s="21" t="s">
        <v>443</v>
      </c>
      <c r="E91" s="12" t="s">
        <v>444</v>
      </c>
      <c r="F91" s="11" t="s">
        <v>341</v>
      </c>
      <c r="G91" s="20" t="s">
        <v>34</v>
      </c>
      <c r="H91" s="20" t="n">
        <v>2020</v>
      </c>
      <c r="I91" s="21" t="n">
        <v>36</v>
      </c>
      <c r="J91" s="13"/>
      <c r="K91" s="13"/>
      <c r="L91" s="14" t="n">
        <v>3.7</v>
      </c>
      <c r="M91" s="15" t="n">
        <v>87.2</v>
      </c>
      <c r="N91" s="20" t="n">
        <v>2021</v>
      </c>
      <c r="O91" s="21" t="n">
        <v>24</v>
      </c>
      <c r="P91" s="13"/>
      <c r="Q91" s="13"/>
      <c r="R91" s="14" t="n">
        <v>5.91</v>
      </c>
      <c r="S91" s="15" t="n">
        <v>123.1</v>
      </c>
      <c r="T91" s="16" t="str">
        <f aca="false">IF(AND(ISNUMBER(K91),ISNUMBER(Q91)),Q91-K91,"")</f>
        <v/>
      </c>
      <c r="U91" s="17" t="n">
        <f aca="false">IF(AND(ISNUMBER(L91),ISNUMBER(R91)),R91-L91,"")</f>
        <v>2.21</v>
      </c>
      <c r="V91" s="18" t="n">
        <f aca="false">IF(AND(ISNUMBER(I91),ISNUMBER(O91)),O91-I91,"")</f>
        <v>-12</v>
      </c>
      <c r="W91" s="19" t="s">
        <v>445</v>
      </c>
      <c r="X91" s="12" t="s">
        <v>437</v>
      </c>
      <c r="Y91" s="12" t="s">
        <v>446</v>
      </c>
    </row>
    <row r="92" customFormat="false" ht="15" hidden="false" customHeight="false" outlineLevel="0" collapsed="false">
      <c r="A92" s="7" t="s">
        <v>25</v>
      </c>
      <c r="B92" s="7" t="n">
        <v>2021</v>
      </c>
      <c r="C92" s="7" t="n">
        <v>1</v>
      </c>
      <c r="D92" s="8" t="s">
        <v>447</v>
      </c>
      <c r="E92" s="9" t="s">
        <v>448</v>
      </c>
      <c r="F92" s="10" t="s">
        <v>212</v>
      </c>
      <c r="G92" s="7" t="s">
        <v>34</v>
      </c>
      <c r="H92" s="20" t="n">
        <v>2021</v>
      </c>
      <c r="I92" s="21" t="n">
        <v>19</v>
      </c>
      <c r="J92" s="13"/>
      <c r="K92" s="13"/>
      <c r="L92" s="14" t="n">
        <v>3.61</v>
      </c>
      <c r="M92" s="15" t="n">
        <v>94.2</v>
      </c>
      <c r="N92" s="20" t="n">
        <v>2022</v>
      </c>
      <c r="O92" s="21" t="n">
        <v>29</v>
      </c>
      <c r="P92" s="13"/>
      <c r="Q92" s="13"/>
      <c r="R92" s="14" t="n">
        <v>3.86</v>
      </c>
      <c r="S92" s="15" t="n">
        <v>154</v>
      </c>
      <c r="T92" s="16" t="str">
        <f aca="false">IF(AND(ISNUMBER(K92),ISNUMBER(Q92)),Q92-K92,"")</f>
        <v/>
      </c>
      <c r="U92" s="17" t="n">
        <f aca="false">IF(AND(ISNUMBER(L92),ISNUMBER(R92)),R92-L92,"")</f>
        <v>0.25</v>
      </c>
      <c r="V92" s="18" t="n">
        <f aca="false">IF(AND(ISNUMBER(I92),ISNUMBER(O92)),O92-I92,"")</f>
        <v>10</v>
      </c>
      <c r="W92" s="19" t="s">
        <v>449</v>
      </c>
      <c r="X92" s="12" t="s">
        <v>450</v>
      </c>
      <c r="Y92" s="12" t="s">
        <v>451</v>
      </c>
    </row>
    <row r="93" customFormat="false" ht="15" hidden="false" customHeight="false" outlineLevel="0" collapsed="false">
      <c r="A93" s="20" t="s">
        <v>48</v>
      </c>
      <c r="B93" s="20" t="n">
        <v>2021</v>
      </c>
      <c r="C93" s="20" t="n">
        <v>2</v>
      </c>
      <c r="D93" s="21" t="s">
        <v>452</v>
      </c>
      <c r="E93" s="12" t="s">
        <v>453</v>
      </c>
      <c r="F93" s="20" t="s">
        <v>109</v>
      </c>
      <c r="G93" s="20" t="s">
        <v>34</v>
      </c>
      <c r="H93" s="20" t="n">
        <v>2021</v>
      </c>
      <c r="I93" s="21" t="n">
        <v>44</v>
      </c>
      <c r="J93" s="13"/>
      <c r="K93" s="13"/>
      <c r="L93" s="14" t="n">
        <v>2.85</v>
      </c>
      <c r="M93" s="15" t="n">
        <v>47.1</v>
      </c>
      <c r="N93" s="20" t="n">
        <v>2022</v>
      </c>
      <c r="O93" s="21" t="n">
        <v>68</v>
      </c>
      <c r="P93" s="13"/>
      <c r="Q93" s="13"/>
      <c r="R93" s="14" t="n">
        <v>4.06</v>
      </c>
      <c r="S93" s="15" t="n">
        <v>71</v>
      </c>
      <c r="T93" s="16" t="str">
        <f aca="false">IF(AND(ISNUMBER(K93),ISNUMBER(Q93)),Q93-K93,"")</f>
        <v/>
      </c>
      <c r="U93" s="17" t="n">
        <f aca="false">IF(AND(ISNUMBER(L93),ISNUMBER(R93)),R93-L93,"")</f>
        <v>1.21</v>
      </c>
      <c r="V93" s="18" t="n">
        <f aca="false">IF(AND(ISNUMBER(I93),ISNUMBER(O93)),O93-I93,"")</f>
        <v>24</v>
      </c>
      <c r="W93" s="19" t="s">
        <v>454</v>
      </c>
      <c r="X93" s="12" t="s">
        <v>450</v>
      </c>
      <c r="Y93" s="12" t="s">
        <v>455</v>
      </c>
    </row>
    <row r="94" customFormat="false" ht="15" hidden="false" customHeight="false" outlineLevel="0" collapsed="false">
      <c r="A94" s="20" t="s">
        <v>48</v>
      </c>
      <c r="B94" s="20" t="n">
        <v>2021</v>
      </c>
      <c r="C94" s="20" t="n">
        <v>3</v>
      </c>
      <c r="D94" s="21" t="s">
        <v>456</v>
      </c>
      <c r="E94" s="12" t="s">
        <v>457</v>
      </c>
      <c r="F94" s="11" t="s">
        <v>458</v>
      </c>
      <c r="G94" s="20" t="s">
        <v>34</v>
      </c>
      <c r="H94" s="20" t="n">
        <v>2021</v>
      </c>
      <c r="I94" s="21" t="n">
        <v>60</v>
      </c>
      <c r="J94" s="13"/>
      <c r="K94" s="13"/>
      <c r="L94" s="14" t="n">
        <v>3.92</v>
      </c>
      <c r="M94" s="15" t="n">
        <v>80.1</v>
      </c>
      <c r="N94" s="20" t="n">
        <v>2022</v>
      </c>
      <c r="O94" s="21" t="n">
        <v>40</v>
      </c>
      <c r="P94" s="13"/>
      <c r="Q94" s="13"/>
      <c r="R94" s="14" t="n">
        <v>4.25</v>
      </c>
      <c r="S94" s="15" t="n">
        <v>55</v>
      </c>
      <c r="T94" s="16" t="str">
        <f aca="false">IF(AND(ISNUMBER(K94),ISNUMBER(Q94)),Q94-K94,"")</f>
        <v/>
      </c>
      <c r="U94" s="17" t="n">
        <f aca="false">IF(AND(ISNUMBER(L94),ISNUMBER(R94)),R94-L94,"")</f>
        <v>0.33</v>
      </c>
      <c r="V94" s="18" t="n">
        <f aca="false">IF(AND(ISNUMBER(I94),ISNUMBER(O94)),O94-I94,"")</f>
        <v>-20</v>
      </c>
      <c r="W94" s="19" t="s">
        <v>459</v>
      </c>
      <c r="X94" s="12" t="s">
        <v>450</v>
      </c>
      <c r="Y94" s="12" t="s">
        <v>460</v>
      </c>
    </row>
    <row r="95" customFormat="false" ht="15" hidden="false" customHeight="false" outlineLevel="0" collapsed="false">
      <c r="A95" s="7" t="s">
        <v>25</v>
      </c>
      <c r="B95" s="7" t="n">
        <v>2022</v>
      </c>
      <c r="C95" s="7" t="n">
        <v>1</v>
      </c>
      <c r="D95" s="8" t="s">
        <v>461</v>
      </c>
      <c r="E95" s="9" t="s">
        <v>462</v>
      </c>
      <c r="F95" s="7" t="s">
        <v>175</v>
      </c>
      <c r="G95" s="7" t="s">
        <v>34</v>
      </c>
      <c r="H95" s="20" t="n">
        <v>2022</v>
      </c>
      <c r="I95" s="21" t="n">
        <v>58</v>
      </c>
      <c r="J95" s="13"/>
      <c r="K95" s="13"/>
      <c r="L95" s="14" t="n">
        <v>3.1</v>
      </c>
      <c r="M95" s="15" t="n">
        <v>72.2</v>
      </c>
      <c r="N95" s="20" t="n">
        <v>2023</v>
      </c>
      <c r="O95" s="21" t="n">
        <v>67</v>
      </c>
      <c r="P95" s="13"/>
      <c r="Q95" s="13"/>
      <c r="R95" s="14" t="n">
        <v>3.96</v>
      </c>
      <c r="S95" s="15" t="n">
        <v>72.2</v>
      </c>
      <c r="T95" s="16" t="str">
        <f aca="false">IF(AND(ISNUMBER(K95),ISNUMBER(Q95)),Q95-K95,"")</f>
        <v/>
      </c>
      <c r="U95" s="17" t="n">
        <f aca="false">IF(AND(ISNUMBER(L95),ISNUMBER(R95)),R95-L95,"")</f>
        <v>0.86</v>
      </c>
      <c r="V95" s="18" t="n">
        <f aca="false">IF(AND(ISNUMBER(I95),ISNUMBER(O95)),O95-I95,"")</f>
        <v>9</v>
      </c>
      <c r="W95" s="19" t="s">
        <v>463</v>
      </c>
      <c r="X95" s="12" t="s">
        <v>464</v>
      </c>
      <c r="Y95" s="12" t="s">
        <v>465</v>
      </c>
    </row>
    <row r="96" customFormat="false" ht="15" hidden="false" customHeight="false" outlineLevel="0" collapsed="false">
      <c r="A96" s="20" t="s">
        <v>48</v>
      </c>
      <c r="B96" s="20" t="n">
        <v>2022</v>
      </c>
      <c r="C96" s="20" t="n">
        <v>2</v>
      </c>
      <c r="D96" s="21" t="s">
        <v>466</v>
      </c>
      <c r="E96" s="12" t="s">
        <v>467</v>
      </c>
      <c r="F96" s="20" t="s">
        <v>191</v>
      </c>
      <c r="G96" s="20" t="s">
        <v>29</v>
      </c>
      <c r="H96" s="20" t="n">
        <v>2022</v>
      </c>
      <c r="I96" s="21" t="n">
        <v>113</v>
      </c>
      <c r="J96" s="13" t="n">
        <v>0.261</v>
      </c>
      <c r="K96" s="13" t="n">
        <v>0.722</v>
      </c>
      <c r="L96" s="14"/>
      <c r="M96" s="15"/>
      <c r="N96" s="20" t="n">
        <v>2023</v>
      </c>
      <c r="O96" s="21" t="n">
        <v>112</v>
      </c>
      <c r="P96" s="13" t="n">
        <v>0.225</v>
      </c>
      <c r="Q96" s="13" t="n">
        <v>0.64</v>
      </c>
      <c r="R96" s="14"/>
      <c r="S96" s="15"/>
      <c r="T96" s="16" t="n">
        <f aca="false">IF(AND(ISNUMBER(K96),ISNUMBER(Q96)),Q96-K96,"")</f>
        <v>-0.082</v>
      </c>
      <c r="U96" s="17" t="str">
        <f aca="false">IF(AND(ISNUMBER(L96),ISNUMBER(R96)),R96-L96,"")</f>
        <v/>
      </c>
      <c r="V96" s="18" t="n">
        <f aca="false">IF(AND(ISNUMBER(I96),ISNUMBER(O96)),O96-I96,"")</f>
        <v>-1</v>
      </c>
      <c r="W96" s="19" t="s">
        <v>468</v>
      </c>
      <c r="X96" s="12" t="s">
        <v>464</v>
      </c>
      <c r="Y96" s="12" t="s">
        <v>469</v>
      </c>
    </row>
    <row r="97" customFormat="false" ht="15" hidden="false" customHeight="false" outlineLevel="0" collapsed="false">
      <c r="A97" s="20" t="s">
        <v>48</v>
      </c>
      <c r="B97" s="20" t="n">
        <v>2022</v>
      </c>
      <c r="C97" s="20" t="n">
        <v>3</v>
      </c>
      <c r="D97" s="21" t="s">
        <v>470</v>
      </c>
      <c r="E97" s="12" t="s">
        <v>471</v>
      </c>
      <c r="F97" s="11" t="s">
        <v>212</v>
      </c>
      <c r="G97" s="20" t="s">
        <v>29</v>
      </c>
      <c r="H97" s="20" t="n">
        <v>2022</v>
      </c>
      <c r="I97" s="21" t="n">
        <v>103</v>
      </c>
      <c r="J97" s="13" t="n">
        <v>0.237</v>
      </c>
      <c r="K97" s="13" t="n">
        <v>0.674</v>
      </c>
      <c r="L97" s="14"/>
      <c r="M97" s="15"/>
      <c r="N97" s="20" t="n">
        <v>2023</v>
      </c>
      <c r="O97" s="21" t="n">
        <v>84</v>
      </c>
      <c r="P97" s="13" t="n">
        <v>0.303</v>
      </c>
      <c r="Q97" s="13" t="n">
        <v>0.824</v>
      </c>
      <c r="R97" s="14"/>
      <c r="S97" s="15"/>
      <c r="T97" s="16" t="n">
        <f aca="false">IF(AND(ISNUMBER(K97),ISNUMBER(Q97)),Q97-K97,"")</f>
        <v>0.15</v>
      </c>
      <c r="U97" s="17" t="str">
        <f aca="false">IF(AND(ISNUMBER(L97),ISNUMBER(R97)),R97-L97,"")</f>
        <v/>
      </c>
      <c r="V97" s="18" t="n">
        <f aca="false">IF(AND(ISNUMBER(I97),ISNUMBER(O97)),O97-I97,"")</f>
        <v>-19</v>
      </c>
      <c r="W97" s="19" t="s">
        <v>472</v>
      </c>
      <c r="X97" s="12" t="s">
        <v>464</v>
      </c>
      <c r="Y97" s="12" t="s">
        <v>473</v>
      </c>
    </row>
    <row r="98" customFormat="false" ht="15" hidden="false" customHeight="false" outlineLevel="0" collapsed="false">
      <c r="A98" s="20" t="s">
        <v>48</v>
      </c>
      <c r="B98" s="20" t="n">
        <v>2022</v>
      </c>
      <c r="C98" s="20" t="n">
        <v>3</v>
      </c>
      <c r="D98" s="21" t="s">
        <v>474</v>
      </c>
      <c r="E98" s="12" t="s">
        <v>475</v>
      </c>
      <c r="F98" s="11" t="s">
        <v>377</v>
      </c>
      <c r="G98" s="20" t="s">
        <v>34</v>
      </c>
      <c r="H98" s="20" t="n">
        <v>2022</v>
      </c>
      <c r="I98" s="21" t="n">
        <v>52</v>
      </c>
      <c r="J98" s="13"/>
      <c r="K98" s="13"/>
      <c r="L98" s="14" t="n">
        <v>3.66</v>
      </c>
      <c r="M98" s="15" t="n">
        <v>51.2</v>
      </c>
      <c r="N98" s="20" t="n">
        <v>2023</v>
      </c>
      <c r="O98" s="21" t="n">
        <v>68</v>
      </c>
      <c r="P98" s="13"/>
      <c r="Q98" s="13"/>
      <c r="R98" s="14" t="n">
        <v>2.75</v>
      </c>
      <c r="S98" s="15" t="n">
        <v>75.1</v>
      </c>
      <c r="T98" s="16" t="str">
        <f aca="false">IF(AND(ISNUMBER(K98),ISNUMBER(Q98)),Q98-K98,"")</f>
        <v/>
      </c>
      <c r="U98" s="17" t="n">
        <f aca="false">IF(AND(ISNUMBER(L98),ISNUMBER(R98)),R98-L98,"")</f>
        <v>-0.91</v>
      </c>
      <c r="V98" s="18" t="n">
        <f aca="false">IF(AND(ISNUMBER(I98),ISNUMBER(O98)),O98-I98,"")</f>
        <v>16</v>
      </c>
      <c r="W98" s="19" t="s">
        <v>476</v>
      </c>
      <c r="X98" s="12" t="s">
        <v>464</v>
      </c>
      <c r="Y98" s="12" t="s">
        <v>477</v>
      </c>
    </row>
    <row r="99" customFormat="false" ht="15" hidden="false" customHeight="false" outlineLevel="0" collapsed="false">
      <c r="A99" s="20" t="s">
        <v>48</v>
      </c>
      <c r="B99" s="20" t="n">
        <v>2022</v>
      </c>
      <c r="C99" s="20" t="n">
        <v>3</v>
      </c>
      <c r="D99" s="21" t="s">
        <v>478</v>
      </c>
      <c r="E99" s="12" t="s">
        <v>479</v>
      </c>
      <c r="F99" s="20" t="s">
        <v>109</v>
      </c>
      <c r="G99" s="20" t="s">
        <v>29</v>
      </c>
      <c r="H99" s="20" t="n">
        <v>2022</v>
      </c>
      <c r="I99" s="21" t="n">
        <v>102</v>
      </c>
      <c r="J99" s="13" t="n">
        <v>0.294</v>
      </c>
      <c r="K99" s="13" t="n">
        <v>0.707</v>
      </c>
      <c r="L99" s="14"/>
      <c r="M99" s="15"/>
      <c r="N99" s="20" t="n">
        <v>2023</v>
      </c>
      <c r="O99" s="21" t="n">
        <v>74</v>
      </c>
      <c r="P99" s="13" t="n">
        <v>0.212</v>
      </c>
      <c r="Q99" s="13" t="n">
        <v>0.532</v>
      </c>
      <c r="R99" s="14"/>
      <c r="S99" s="15"/>
      <c r="T99" s="16" t="n">
        <f aca="false">IF(AND(ISNUMBER(K99),ISNUMBER(Q99)),Q99-K99,"")</f>
        <v>-0.175</v>
      </c>
      <c r="U99" s="17" t="str">
        <f aca="false">IF(AND(ISNUMBER(L99),ISNUMBER(R99)),R99-L99,"")</f>
        <v/>
      </c>
      <c r="V99" s="18" t="n">
        <f aca="false">IF(AND(ISNUMBER(I99),ISNUMBER(O99)),O99-I99,"")</f>
        <v>-28</v>
      </c>
      <c r="W99" s="19" t="s">
        <v>480</v>
      </c>
      <c r="X99" s="12" t="s">
        <v>464</v>
      </c>
      <c r="Y99" s="12" t="s">
        <v>481</v>
      </c>
    </row>
    <row r="100" customFormat="false" ht="15" hidden="false" customHeight="false" outlineLevel="0" collapsed="false">
      <c r="A100" s="7" t="s">
        <v>25</v>
      </c>
      <c r="B100" s="7" t="n">
        <v>2023</v>
      </c>
      <c r="C100" s="7" t="n">
        <v>1</v>
      </c>
      <c r="D100" s="8" t="s">
        <v>482</v>
      </c>
      <c r="E100" s="9" t="s">
        <v>483</v>
      </c>
      <c r="F100" s="7" t="s">
        <v>191</v>
      </c>
      <c r="G100" s="7" t="s">
        <v>34</v>
      </c>
      <c r="H100" s="20" t="n">
        <v>2023</v>
      </c>
      <c r="I100" s="21" t="n">
        <v>23</v>
      </c>
      <c r="J100" s="13"/>
      <c r="K100" s="13"/>
      <c r="L100" s="14" t="n">
        <v>3.72</v>
      </c>
      <c r="M100" s="15" t="n">
        <v>118.2</v>
      </c>
      <c r="N100" s="20" t="n">
        <v>2024</v>
      </c>
      <c r="O100" s="21" t="n">
        <v>21</v>
      </c>
      <c r="P100" s="13"/>
      <c r="Q100" s="13"/>
      <c r="R100" s="14" t="n">
        <v>5.17</v>
      </c>
      <c r="S100" s="15" t="n">
        <v>111.1</v>
      </c>
      <c r="T100" s="16" t="str">
        <f aca="false">IF(AND(ISNUMBER(K100),ISNUMBER(Q100)),Q100-K100,"")</f>
        <v/>
      </c>
      <c r="U100" s="17" t="n">
        <f aca="false">IF(AND(ISNUMBER(L100),ISNUMBER(R100)),R100-L100,"")</f>
        <v>1.45</v>
      </c>
      <c r="V100" s="18" t="n">
        <f aca="false">IF(AND(ISNUMBER(I100),ISNUMBER(O100)),O100-I100,"")</f>
        <v>-2</v>
      </c>
      <c r="W100" s="19" t="s">
        <v>484</v>
      </c>
      <c r="X100" s="12" t="s">
        <v>485</v>
      </c>
      <c r="Y100" s="12" t="s">
        <v>486</v>
      </c>
    </row>
    <row r="101" customFormat="false" ht="15" hidden="false" customHeight="false" outlineLevel="0" collapsed="false">
      <c r="A101" s="20" t="s">
        <v>48</v>
      </c>
      <c r="B101" s="20" t="n">
        <v>2023</v>
      </c>
      <c r="C101" s="20" t="n">
        <v>2</v>
      </c>
      <c r="D101" s="21" t="s">
        <v>487</v>
      </c>
      <c r="E101" s="12" t="s">
        <v>488</v>
      </c>
      <c r="F101" s="11" t="s">
        <v>212</v>
      </c>
      <c r="G101" s="20" t="s">
        <v>34</v>
      </c>
      <c r="H101" s="20" t="n">
        <v>2023</v>
      </c>
      <c r="I101" s="21" t="n">
        <v>25</v>
      </c>
      <c r="J101" s="13"/>
      <c r="K101" s="13"/>
      <c r="L101" s="14" t="n">
        <v>4.04</v>
      </c>
      <c r="M101" s="15" t="n">
        <v>122.2</v>
      </c>
      <c r="N101" s="20" t="n">
        <v>2024</v>
      </c>
      <c r="O101" s="21" t="n">
        <v>18</v>
      </c>
      <c r="P101" s="13"/>
      <c r="Q101" s="13"/>
      <c r="R101" s="14" t="n">
        <v>4.19</v>
      </c>
      <c r="S101" s="15" t="n">
        <v>81.2</v>
      </c>
      <c r="T101" s="16" t="str">
        <f aca="false">IF(AND(ISNUMBER(K101),ISNUMBER(Q101)),Q101-K101,"")</f>
        <v/>
      </c>
      <c r="U101" s="17" t="n">
        <f aca="false">IF(AND(ISNUMBER(L101),ISNUMBER(R101)),R101-L101,"")</f>
        <v>0.15</v>
      </c>
      <c r="V101" s="18" t="n">
        <f aca="false">IF(AND(ISNUMBER(I101),ISNUMBER(O101)),O101-I101,"")</f>
        <v>-7</v>
      </c>
      <c r="W101" s="19" t="s">
        <v>489</v>
      </c>
      <c r="X101" s="12" t="s">
        <v>485</v>
      </c>
      <c r="Y101" s="12" t="s">
        <v>490</v>
      </c>
    </row>
    <row r="102" customFormat="false" ht="15" hidden="false" customHeight="false" outlineLevel="0" collapsed="false">
      <c r="A102" s="20" t="s">
        <v>48</v>
      </c>
      <c r="B102" s="20" t="n">
        <v>2023</v>
      </c>
      <c r="C102" s="20" t="n">
        <v>3</v>
      </c>
      <c r="D102" s="21" t="s">
        <v>491</v>
      </c>
      <c r="E102" s="12" t="s">
        <v>492</v>
      </c>
      <c r="F102" s="11" t="s">
        <v>212</v>
      </c>
      <c r="G102" s="20" t="s">
        <v>34</v>
      </c>
      <c r="H102" s="20" t="n">
        <v>2023</v>
      </c>
      <c r="I102" s="21" t="n">
        <v>58</v>
      </c>
      <c r="J102" s="13"/>
      <c r="K102" s="13"/>
      <c r="L102" s="14" t="n">
        <v>2.12</v>
      </c>
      <c r="M102" s="15" t="n">
        <v>59.1</v>
      </c>
      <c r="N102" s="20" t="n">
        <v>2024</v>
      </c>
      <c r="O102" s="21" t="n">
        <v>56</v>
      </c>
      <c r="P102" s="13"/>
      <c r="Q102" s="13"/>
      <c r="R102" s="14" t="n">
        <v>5.09</v>
      </c>
      <c r="S102" s="15" t="n">
        <v>46</v>
      </c>
      <c r="T102" s="16" t="str">
        <f aca="false">IF(AND(ISNUMBER(K102),ISNUMBER(Q102)),Q102-K102,"")</f>
        <v/>
      </c>
      <c r="U102" s="17" t="n">
        <f aca="false">IF(AND(ISNUMBER(L102),ISNUMBER(R102)),R102-L102,"")</f>
        <v>2.97</v>
      </c>
      <c r="V102" s="18" t="n">
        <f aca="false">IF(AND(ISNUMBER(I102),ISNUMBER(O102)),O102-I102,"")</f>
        <v>-2</v>
      </c>
      <c r="W102" s="19" t="s">
        <v>493</v>
      </c>
      <c r="X102" s="12" t="s">
        <v>485</v>
      </c>
      <c r="Y102" s="12" t="s">
        <v>494</v>
      </c>
    </row>
    <row r="103" customFormat="false" ht="15" hidden="false" customHeight="false" outlineLevel="0" collapsed="false">
      <c r="A103" s="7" t="s">
        <v>25</v>
      </c>
      <c r="B103" s="7" t="n">
        <v>2024</v>
      </c>
      <c r="C103" s="7" t="n">
        <v>1</v>
      </c>
      <c r="D103" s="8" t="s">
        <v>495</v>
      </c>
      <c r="E103" s="9" t="s">
        <v>496</v>
      </c>
      <c r="F103" s="7" t="s">
        <v>175</v>
      </c>
      <c r="G103" s="7" t="s">
        <v>34</v>
      </c>
      <c r="H103" s="20" t="n">
        <v>2024</v>
      </c>
      <c r="I103" s="21" t="n">
        <v>60</v>
      </c>
      <c r="J103" s="13"/>
      <c r="K103" s="13"/>
      <c r="L103" s="14" t="n">
        <v>2.08</v>
      </c>
      <c r="M103" s="15" t="n">
        <v>65</v>
      </c>
      <c r="N103" s="20" t="n">
        <v>2025</v>
      </c>
      <c r="O103" s="21" t="n">
        <v>64</v>
      </c>
      <c r="P103" s="13"/>
      <c r="Q103" s="13"/>
      <c r="R103" s="14" t="n">
        <v>3.53</v>
      </c>
      <c r="S103" s="15" t="n">
        <v>66.1</v>
      </c>
      <c r="T103" s="16" t="str">
        <f aca="false">IF(AND(ISNUMBER(K103),ISNUMBER(Q103)),Q103-K103,"")</f>
        <v/>
      </c>
      <c r="U103" s="17" t="n">
        <f aca="false">IF(AND(ISNUMBER(L103),ISNUMBER(R103)),R103-L103,"")</f>
        <v>1.45</v>
      </c>
      <c r="V103" s="18" t="n">
        <f aca="false">IF(AND(ISNUMBER(I103),ISNUMBER(O103)),O103-I103,"")</f>
        <v>4</v>
      </c>
      <c r="W103" s="19" t="s">
        <v>497</v>
      </c>
      <c r="X103" s="12" t="s">
        <v>498</v>
      </c>
      <c r="Y103" s="12" t="s">
        <v>499</v>
      </c>
    </row>
    <row r="104" customFormat="false" ht="15" hidden="false" customHeight="false" outlineLevel="0" collapsed="false">
      <c r="A104" s="20" t="s">
        <v>48</v>
      </c>
      <c r="B104" s="20" t="n">
        <v>2024</v>
      </c>
      <c r="C104" s="20" t="n">
        <v>2</v>
      </c>
      <c r="D104" s="21" t="s">
        <v>500</v>
      </c>
      <c r="E104" s="12" t="s">
        <v>501</v>
      </c>
      <c r="F104" s="20" t="s">
        <v>191</v>
      </c>
      <c r="G104" s="20" t="s">
        <v>29</v>
      </c>
      <c r="H104" s="20" t="n">
        <v>2024</v>
      </c>
      <c r="I104" s="21" t="n">
        <v>123</v>
      </c>
      <c r="J104" s="13" t="n">
        <v>0.301</v>
      </c>
      <c r="K104" s="13" t="n">
        <v>0.738</v>
      </c>
      <c r="L104" s="14"/>
      <c r="M104" s="15"/>
      <c r="N104" s="20" t="n">
        <v>2025</v>
      </c>
      <c r="O104" s="21" t="n">
        <v>117</v>
      </c>
      <c r="P104" s="13" t="n">
        <v>0.273</v>
      </c>
      <c r="Q104" s="13" t="n">
        <v>0.686</v>
      </c>
      <c r="R104" s="14"/>
      <c r="S104" s="15"/>
      <c r="T104" s="16" t="n">
        <f aca="false">IF(AND(ISNUMBER(K104),ISNUMBER(Q104)),Q104-K104,"")</f>
        <v>-0.0519999999999999</v>
      </c>
      <c r="U104" s="17" t="str">
        <f aca="false">IF(AND(ISNUMBER(L104),ISNUMBER(R104)),R104-L104,"")</f>
        <v/>
      </c>
      <c r="V104" s="18" t="n">
        <f aca="false">IF(AND(ISNUMBER(I104),ISNUMBER(O104)),O104-I104,"")</f>
        <v>-6</v>
      </c>
      <c r="W104" s="19" t="s">
        <v>502</v>
      </c>
      <c r="X104" s="12" t="s">
        <v>498</v>
      </c>
      <c r="Y104" s="12" t="s">
        <v>503</v>
      </c>
    </row>
    <row r="105" customFormat="false" ht="15" hidden="false" customHeight="false" outlineLevel="0" collapsed="false">
      <c r="A105" s="20" t="s">
        <v>48</v>
      </c>
      <c r="B105" s="20" t="n">
        <v>2024</v>
      </c>
      <c r="C105" s="20" t="n">
        <v>3</v>
      </c>
      <c r="D105" s="21" t="s">
        <v>504</v>
      </c>
      <c r="E105" s="12" t="s">
        <v>505</v>
      </c>
      <c r="F105" s="11" t="s">
        <v>458</v>
      </c>
      <c r="G105" s="20" t="s">
        <v>29</v>
      </c>
      <c r="H105" s="20" t="n">
        <v>2024</v>
      </c>
      <c r="I105" s="21" t="n">
        <v>88</v>
      </c>
      <c r="J105" s="13" t="n">
        <v>0.307</v>
      </c>
      <c r="K105" s="13" t="n">
        <v>0.776</v>
      </c>
      <c r="L105" s="14"/>
      <c r="M105" s="15"/>
      <c r="N105" s="20" t="n">
        <v>2025</v>
      </c>
      <c r="O105" s="21" t="n">
        <v>132</v>
      </c>
      <c r="P105" s="13" t="n">
        <v>0.245</v>
      </c>
      <c r="Q105" s="13" t="n">
        <v>0.629</v>
      </c>
      <c r="R105" s="14"/>
      <c r="S105" s="15"/>
      <c r="T105" s="16" t="n">
        <f aca="false">IF(AND(ISNUMBER(K105),ISNUMBER(Q105)),Q105-K105,"")</f>
        <v>-0.147</v>
      </c>
      <c r="U105" s="17" t="str">
        <f aca="false">IF(AND(ISNUMBER(L105),ISNUMBER(R105)),R105-L105,"")</f>
        <v/>
      </c>
      <c r="V105" s="18" t="n">
        <f aca="false">IF(AND(ISNUMBER(I105),ISNUMBER(O105)),O105-I105,"")</f>
        <v>44</v>
      </c>
      <c r="W105" s="19" t="s">
        <v>506</v>
      </c>
      <c r="X105" s="12" t="s">
        <v>498</v>
      </c>
      <c r="Y105" s="12" t="s">
        <v>507</v>
      </c>
    </row>
    <row r="106" customFormat="false" ht="15" hidden="false" customHeight="false" outlineLevel="0" collapsed="false">
      <c r="A106" s="20" t="s">
        <v>48</v>
      </c>
      <c r="B106" s="20" t="n">
        <v>2024</v>
      </c>
      <c r="C106" s="20" t="n">
        <v>3</v>
      </c>
      <c r="D106" s="21" t="s">
        <v>508</v>
      </c>
      <c r="E106" s="12" t="s">
        <v>509</v>
      </c>
      <c r="F106" s="11" t="s">
        <v>458</v>
      </c>
      <c r="G106" s="20" t="s">
        <v>34</v>
      </c>
      <c r="H106" s="20" t="n">
        <v>2024</v>
      </c>
      <c r="I106" s="21" t="n">
        <v>76</v>
      </c>
      <c r="J106" s="13"/>
      <c r="K106" s="13"/>
      <c r="L106" s="14" t="n">
        <v>3.58</v>
      </c>
      <c r="M106" s="15" t="n">
        <v>73</v>
      </c>
      <c r="N106" s="20" t="n">
        <v>2025</v>
      </c>
      <c r="O106" s="21" t="n">
        <v>69</v>
      </c>
      <c r="P106" s="13"/>
      <c r="Q106" s="13"/>
      <c r="R106" s="14" t="n">
        <v>1.6</v>
      </c>
      <c r="S106" s="15" t="n">
        <v>67.1</v>
      </c>
      <c r="T106" s="16" t="str">
        <f aca="false">IF(AND(ISNUMBER(K106),ISNUMBER(Q106)),Q106-K106,"")</f>
        <v/>
      </c>
      <c r="U106" s="17" t="n">
        <f aca="false">IF(AND(ISNUMBER(L106),ISNUMBER(R106)),R106-L106,"")</f>
        <v>-1.98</v>
      </c>
      <c r="V106" s="18" t="n">
        <f aca="false">IF(AND(ISNUMBER(I106),ISNUMBER(O106)),O106-I106,"")</f>
        <v>-7</v>
      </c>
      <c r="W106" s="19" t="s">
        <v>476</v>
      </c>
      <c r="X106" s="12" t="s">
        <v>498</v>
      </c>
      <c r="Y106" s="12" t="s">
        <v>510</v>
      </c>
    </row>
    <row r="107" customFormat="false" ht="15" hidden="false" customHeight="false" outlineLevel="0" collapsed="false">
      <c r="A107" s="7" t="s">
        <v>25</v>
      </c>
      <c r="B107" s="7" t="n">
        <v>2025</v>
      </c>
      <c r="C107" s="7" t="n">
        <v>1</v>
      </c>
      <c r="D107" s="8" t="s">
        <v>511</v>
      </c>
      <c r="E107" s="9" t="s">
        <v>512</v>
      </c>
      <c r="F107" s="10" t="s">
        <v>377</v>
      </c>
      <c r="G107" s="7" t="s">
        <v>29</v>
      </c>
      <c r="H107" s="20" t="n">
        <v>2025</v>
      </c>
      <c r="I107" s="21" t="n">
        <v>112</v>
      </c>
      <c r="J107" s="13" t="n">
        <v>0.334</v>
      </c>
      <c r="K107" s="13" t="n">
        <v>1.018</v>
      </c>
      <c r="L107" s="14"/>
      <c r="M107" s="15"/>
      <c r="N107" s="20" t="n">
        <v>2026</v>
      </c>
      <c r="O107" s="21" t="n">
        <v>93</v>
      </c>
      <c r="P107" s="13" t="n">
        <v>0.299</v>
      </c>
      <c r="Q107" s="13" t="n">
        <v>0.95</v>
      </c>
      <c r="R107" s="14"/>
      <c r="S107" s="15"/>
      <c r="T107" s="16" t="n">
        <f aca="false">IF(AND(ISNUMBER(K107),ISNUMBER(Q107)),Q107-K107,"")</f>
        <v>-0.0680000000000001</v>
      </c>
      <c r="U107" s="17" t="str">
        <f aca="false">IF(AND(ISNUMBER(L107),ISNUMBER(R107)),R107-L107,"")</f>
        <v/>
      </c>
      <c r="V107" s="18" t="n">
        <f aca="false">IF(AND(ISNUMBER(I107),ISNUMBER(O107)),O107-I107,"")</f>
        <v>-19</v>
      </c>
      <c r="W107" s="19" t="s">
        <v>513</v>
      </c>
      <c r="X107" s="12" t="s">
        <v>514</v>
      </c>
      <c r="Y107" s="12" t="s">
        <v>515</v>
      </c>
    </row>
    <row r="108" customFormat="false" ht="15" hidden="false" customHeight="false" outlineLevel="0" collapsed="false">
      <c r="A108" s="20" t="s">
        <v>48</v>
      </c>
      <c r="B108" s="20" t="n">
        <v>2025</v>
      </c>
      <c r="C108" s="20" t="n">
        <v>2</v>
      </c>
      <c r="D108" s="21" t="s">
        <v>516</v>
      </c>
      <c r="E108" s="12" t="s">
        <v>517</v>
      </c>
      <c r="F108" s="20" t="s">
        <v>191</v>
      </c>
      <c r="G108" s="20" t="s">
        <v>34</v>
      </c>
      <c r="H108" s="20" t="n">
        <v>2025</v>
      </c>
      <c r="I108" s="21" t="n">
        <v>51</v>
      </c>
      <c r="J108" s="13"/>
      <c r="K108" s="13"/>
      <c r="L108" s="14" t="n">
        <v>2.85</v>
      </c>
      <c r="M108" s="15" t="n">
        <v>53.2</v>
      </c>
      <c r="N108" s="20" t="n">
        <v>2026</v>
      </c>
      <c r="O108" s="21" t="n">
        <v>45</v>
      </c>
      <c r="P108" s="13"/>
      <c r="Q108" s="13"/>
      <c r="R108" s="14" t="n">
        <v>8.02</v>
      </c>
      <c r="S108" s="15" t="n">
        <v>46</v>
      </c>
      <c r="T108" s="16" t="str">
        <f aca="false">IF(AND(ISNUMBER(K108),ISNUMBER(Q108)),Q108-K108,"")</f>
        <v/>
      </c>
      <c r="U108" s="17" t="n">
        <f aca="false">IF(AND(ISNUMBER(L108),ISNUMBER(R108)),R108-L108,"")</f>
        <v>5.17</v>
      </c>
      <c r="V108" s="18" t="n">
        <f aca="false">IF(AND(ISNUMBER(I108),ISNUMBER(O108)),O108-I108,"")</f>
        <v>-6</v>
      </c>
      <c r="W108" s="19" t="s">
        <v>518</v>
      </c>
      <c r="X108" s="12" t="s">
        <v>514</v>
      </c>
      <c r="Y108" s="12" t="s">
        <v>519</v>
      </c>
    </row>
    <row r="109" customFormat="false" ht="15" hidden="false" customHeight="false" outlineLevel="0" collapsed="false">
      <c r="A109" s="20" t="s">
        <v>48</v>
      </c>
      <c r="B109" s="20" t="n">
        <v>2025</v>
      </c>
      <c r="C109" s="20" t="n">
        <v>3</v>
      </c>
      <c r="D109" s="21" t="s">
        <v>520</v>
      </c>
      <c r="E109" s="12" t="s">
        <v>521</v>
      </c>
      <c r="F109" s="11" t="s">
        <v>212</v>
      </c>
      <c r="G109" s="20" t="s">
        <v>34</v>
      </c>
      <c r="H109" s="20" t="n">
        <v>2025</v>
      </c>
      <c r="I109" s="21" t="n">
        <v>45</v>
      </c>
      <c r="J109" s="13"/>
      <c r="K109" s="13"/>
      <c r="L109" s="14" t="n">
        <v>1.55</v>
      </c>
      <c r="M109" s="15" t="n">
        <v>52.1</v>
      </c>
      <c r="N109" s="20" t="n">
        <v>2026</v>
      </c>
      <c r="O109" s="21" t="n">
        <v>59</v>
      </c>
      <c r="P109" s="13"/>
      <c r="Q109" s="13"/>
      <c r="R109" s="14" t="n">
        <v>3.51</v>
      </c>
      <c r="S109" s="15" t="n">
        <v>56.1</v>
      </c>
      <c r="T109" s="16" t="str">
        <f aca="false">IF(AND(ISNUMBER(K109),ISNUMBER(Q109)),Q109-K109,"")</f>
        <v/>
      </c>
      <c r="U109" s="17" t="n">
        <f aca="false">IF(AND(ISNUMBER(L109),ISNUMBER(R109)),R109-L109,"")</f>
        <v>1.96</v>
      </c>
      <c r="V109" s="18" t="n">
        <f aca="false">IF(AND(ISNUMBER(I109),ISNUMBER(O109)),O109-I109,"")</f>
        <v>14</v>
      </c>
      <c r="W109" s="19" t="s">
        <v>522</v>
      </c>
      <c r="X109" s="12" t="s">
        <v>514</v>
      </c>
      <c r="Y109" s="12" t="s">
        <v>523</v>
      </c>
    </row>
    <row r="110" customFormat="false" ht="15" hidden="false" customHeight="false" outlineLevel="0" collapsed="false">
      <c r="A110" s="20" t="s">
        <v>48</v>
      </c>
      <c r="B110" s="20" t="n">
        <v>2025</v>
      </c>
      <c r="C110" s="20" t="n">
        <v>3</v>
      </c>
      <c r="D110" s="21" t="s">
        <v>524</v>
      </c>
      <c r="E110" s="12" t="s">
        <v>525</v>
      </c>
      <c r="F110" s="11" t="s">
        <v>89</v>
      </c>
      <c r="G110" s="20" t="s">
        <v>34</v>
      </c>
      <c r="H110" s="20" t="n">
        <v>2025</v>
      </c>
      <c r="I110" s="21" t="n">
        <v>28</v>
      </c>
      <c r="J110" s="13"/>
      <c r="K110" s="13"/>
      <c r="L110" s="14" t="n">
        <v>3.5</v>
      </c>
      <c r="M110" s="15" t="n">
        <v>144</v>
      </c>
      <c r="N110" s="20" t="n">
        <v>2026</v>
      </c>
      <c r="O110" s="21" t="n">
        <v>16</v>
      </c>
      <c r="P110" s="13"/>
      <c r="Q110" s="13"/>
      <c r="R110" s="14" t="n">
        <v>5.53</v>
      </c>
      <c r="S110" s="15" t="n">
        <v>70</v>
      </c>
      <c r="T110" s="16" t="str">
        <f aca="false">IF(AND(ISNUMBER(K110),ISNUMBER(Q110)),Q110-K110,"")</f>
        <v/>
      </c>
      <c r="U110" s="17" t="n">
        <f aca="false">IF(AND(ISNUMBER(L110),ISNUMBER(R110)),R110-L110,"")</f>
        <v>2.03</v>
      </c>
      <c r="V110" s="18" t="n">
        <f aca="false">IF(AND(ISNUMBER(I110),ISNUMBER(O110)),O110-I110,"")</f>
        <v>-12</v>
      </c>
      <c r="W110" s="19" t="s">
        <v>526</v>
      </c>
      <c r="X110" s="12" t="s">
        <v>514</v>
      </c>
      <c r="Y110" s="12" t="s">
        <v>527</v>
      </c>
    </row>
  </sheetData>
  <autoFilter ref="A1:Y1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2026-10-13T04:49:21Z</dcterms:created>
  <dc:creator>openpyxl</dc:creator>
  <dc:description/>
  <dc:language>en-US</dc:language>
  <cp:lastModifiedBy/>
  <dcterms:modified xsi:type="dcterms:W3CDTF">2026-10-13T04:49:21Z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